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Ryan/Downloads/"/>
    </mc:Choice>
  </mc:AlternateContent>
  <xr:revisionPtr revIDLastSave="0" documentId="8_{E5A29E73-7D17-E848-9F77-DAF8695EE885}" xr6:coauthVersionLast="47" xr6:coauthVersionMax="47" xr10:uidLastSave="{00000000-0000-0000-0000-000000000000}"/>
  <bookViews>
    <workbookView xWindow="0" yWindow="500" windowWidth="51200" windowHeight="27320" xr2:uid="{00000000-000D-0000-FFFF-FFFF00000000}"/>
  </bookViews>
  <sheets>
    <sheet name="Sheet1" sheetId="1" r:id="rId1"/>
  </sheets>
  <definedNames>
    <definedName name="_xlnm.Print_Area" localSheetId="0">Sheet1!$A$1:$L$79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39" i="1" l="1"/>
  <c r="L52" i="1"/>
  <c r="E29" i="1"/>
  <c r="E58" i="1"/>
  <c r="L49" i="1" s="1"/>
  <c r="E42" i="1"/>
  <c r="E48" i="1" s="1"/>
  <c r="L48" i="1" l="1"/>
  <c r="L50" i="1"/>
  <c r="L47" i="1"/>
  <c r="L53" i="1" l="1"/>
  <c r="L55" i="1" s="1"/>
</calcChain>
</file>

<file path=xl/sharedStrings.xml><?xml version="1.0" encoding="utf-8"?>
<sst xmlns="http://schemas.openxmlformats.org/spreadsheetml/2006/main" count="161" uniqueCount="134">
  <si>
    <t>WRIGHT FUNERAL HOME</t>
  </si>
  <si>
    <t>STATEMENT OF FUNERAL GOODS AND</t>
  </si>
  <si>
    <t>"A Family Tradition of Trust &amp; Dignity"</t>
  </si>
  <si>
    <t>SERVICES SELECTED</t>
  </si>
  <si>
    <t>1201 West Helm Street PO Box 496</t>
  </si>
  <si>
    <t>Brookfield, Missouri 64628</t>
  </si>
  <si>
    <t>(660) 258-5050</t>
  </si>
  <si>
    <t>No.</t>
  </si>
  <si>
    <t>SERVICES FOR</t>
  </si>
  <si>
    <t>DATE OF DEATH</t>
  </si>
  <si>
    <t>PLACE OF DEATH</t>
  </si>
  <si>
    <t>SERVICE DATE</t>
  </si>
  <si>
    <t>REASON FOR EMBALMING</t>
  </si>
  <si>
    <t>A. SERVICES, FACILITIES &amp; TRANSPORTATION</t>
  </si>
  <si>
    <t>Package Selection</t>
  </si>
  <si>
    <t>Basic Services of Funeral Director &amp; Staff</t>
  </si>
  <si>
    <t>Embalming</t>
  </si>
  <si>
    <t>Other Preparation of Body</t>
  </si>
  <si>
    <t>Use of Facilities &amp; Staff for Visitation</t>
  </si>
  <si>
    <t>Grave Opening</t>
  </si>
  <si>
    <t>Use of Facilities &amp; Staff for Funeral Service</t>
  </si>
  <si>
    <t>Weekend/Holiday Charge</t>
  </si>
  <si>
    <t>Use of Facilities &amp; Staff for Memorial Service</t>
  </si>
  <si>
    <t>Newspaper Notices</t>
  </si>
  <si>
    <t>Use of Equipment &amp; Staff for Graveside Service</t>
  </si>
  <si>
    <t>Funeral Coach</t>
  </si>
  <si>
    <t>Pallbearer Car</t>
  </si>
  <si>
    <t>Service Car</t>
  </si>
  <si>
    <t>Radio Notices</t>
  </si>
  <si>
    <t>Transfer of Remains to Funeral Home</t>
  </si>
  <si>
    <t>Other</t>
  </si>
  <si>
    <t>TOTAL SERVICE CHARGE</t>
  </si>
  <si>
    <t>B. MERCHANDISE SELECTED</t>
  </si>
  <si>
    <t>Casket or (alternative container)</t>
  </si>
  <si>
    <t>Certified Death Certificate</t>
  </si>
  <si>
    <t xml:space="preserve">Description </t>
  </si>
  <si>
    <t>Out of Town Mortuary Charges</t>
  </si>
  <si>
    <t>Cremation Urn</t>
  </si>
  <si>
    <t>Date for Cemetery Marker</t>
  </si>
  <si>
    <t>Flowers</t>
  </si>
  <si>
    <t>Outer Burial Container</t>
  </si>
  <si>
    <t>Register Book</t>
  </si>
  <si>
    <t>TOTAL CASH ADVANCE CHARGES</t>
  </si>
  <si>
    <t>Thank You Cards</t>
  </si>
  <si>
    <t>Memorial Folders</t>
  </si>
  <si>
    <t>Memorial Video</t>
  </si>
  <si>
    <t>Jewelry</t>
  </si>
  <si>
    <t>Supervision of Burial</t>
  </si>
  <si>
    <t>Temporary Grave Marker</t>
  </si>
  <si>
    <t>Other Merchandise</t>
  </si>
  <si>
    <t>TOTAL MERCHANDISE SELECTED</t>
  </si>
  <si>
    <t>SUMMARY OF CHARGES</t>
  </si>
  <si>
    <t>C. SPECIAL CHARGES</t>
  </si>
  <si>
    <t>A. Services, Facilities, &amp; Transportation</t>
  </si>
  <si>
    <t>B. Merchandise</t>
  </si>
  <si>
    <t>Direct Cremation</t>
  </si>
  <si>
    <t>C. Special Charges</t>
  </si>
  <si>
    <t>Mileage</t>
  </si>
  <si>
    <t>D. Cash Advance Items</t>
  </si>
  <si>
    <t>Forward of remains to (funeral home)</t>
  </si>
  <si>
    <t>Receiving of remains from (funeral home)</t>
  </si>
  <si>
    <t>TOTAL OF ALL SELECTIONS</t>
  </si>
  <si>
    <t>Vault Company Weekend/Holiday Charge</t>
  </si>
  <si>
    <t>Immediate Burial</t>
  </si>
  <si>
    <t>BALANCE DUE</t>
  </si>
  <si>
    <t>TOTAL OF SPECIAL CHARGES</t>
  </si>
  <si>
    <t>ACKNOWLEDGEMENT AND AGREEMENT</t>
  </si>
  <si>
    <t xml:space="preserve">merchandise, and cash advances indicated on this statement. </t>
  </si>
  <si>
    <t>Signed: _____________________________________________</t>
  </si>
  <si>
    <t xml:space="preserve"> Accepted for Wright Funeral Home</t>
  </si>
  <si>
    <t>Address: ____________________________________________</t>
  </si>
  <si>
    <t xml:space="preserve">              _____________________________________________</t>
  </si>
  <si>
    <t xml:space="preserve"> Date</t>
  </si>
  <si>
    <t>Phone: ______________________________________________</t>
  </si>
  <si>
    <t>SSN: ________________________________________________</t>
  </si>
  <si>
    <t>Date: ________________________________________________</t>
  </si>
  <si>
    <t>Service Accessory Package</t>
  </si>
  <si>
    <r>
      <rPr>
        <b/>
        <sz val="9"/>
        <color theme="1"/>
        <rFont val="Arial"/>
        <family val="2"/>
      </rPr>
      <t>D. CASH ADVANCE ITEM</t>
    </r>
    <r>
      <rPr>
        <sz val="9"/>
        <color theme="1"/>
        <rFont val="Arial"/>
        <family val="2"/>
      </rPr>
      <t xml:space="preserve"> (PRICES NOT FROZEN)</t>
    </r>
  </si>
  <si>
    <t>The following expenses are not included in our charges. They are not a</t>
  </si>
  <si>
    <t>direct expense of our funeral home. There are several ways in which</t>
  </si>
  <si>
    <t>these expenses can be paid and we will discuss them with you. You are</t>
  </si>
  <si>
    <t>responsible for payment before the service.</t>
  </si>
  <si>
    <r>
      <rPr>
        <b/>
        <sz val="8"/>
        <color theme="1"/>
        <rFont val="Arial"/>
        <family val="2"/>
      </rPr>
      <t>ACCEPTANCE:</t>
    </r>
    <r>
      <rPr>
        <sz val="8"/>
        <color theme="1"/>
        <rFont val="Arial"/>
        <family val="2"/>
      </rPr>
      <t xml:space="preserve">   Wright Funeral Home agrees to provide all the services,</t>
    </r>
  </si>
  <si>
    <t>You may write on check for the cash advance items, you may make</t>
  </si>
  <si>
    <t>individual checks for each of the above expenses, you may in cash, or</t>
  </si>
  <si>
    <t>you may ask us to pay them for your behalf. If we agree to pay them for</t>
  </si>
  <si>
    <t>you the following items will apply.</t>
  </si>
  <si>
    <t>Authorization is hereby granted for Wright Funeral Home to embalm,</t>
  </si>
  <si>
    <t>care for, and prepare for final disposition in accordance with</t>
  </si>
  <si>
    <t>customary professional practice, the body named above.  We state</t>
  </si>
  <si>
    <t xml:space="preserve">we have legal right to control such disposition. </t>
  </si>
  <si>
    <t>Sales Tax 8.475%</t>
  </si>
  <si>
    <t>Honorarium Minister</t>
  </si>
  <si>
    <t>Honorarium Organist</t>
  </si>
  <si>
    <t>Honorarium Singer</t>
  </si>
  <si>
    <t>Honorarium Hairdresser</t>
  </si>
  <si>
    <t>Grave Service Setup/Delivery</t>
  </si>
  <si>
    <t>JANE DOE</t>
  </si>
  <si>
    <t>Pershing Hospital-Brookfield</t>
  </si>
  <si>
    <t>Dodge Marbelized Royal Blue</t>
  </si>
  <si>
    <t>Minnis Oxford</t>
  </si>
  <si>
    <t xml:space="preserve">LT Necklace </t>
  </si>
  <si>
    <t>Dress</t>
  </si>
  <si>
    <t>Rose Hill</t>
  </si>
  <si>
    <t>Kansas City</t>
  </si>
  <si>
    <t>David Hoover</t>
  </si>
  <si>
    <t>LCL</t>
  </si>
  <si>
    <t>Chillicothe</t>
  </si>
  <si>
    <t>Macon</t>
  </si>
  <si>
    <t>KMZU KTTN</t>
  </si>
  <si>
    <t>David Blakely</t>
  </si>
  <si>
    <t>Cameron</t>
  </si>
  <si>
    <t>Joel Kidwell</t>
  </si>
  <si>
    <t>Randy Fay</t>
  </si>
  <si>
    <t>Sara Paahlar</t>
  </si>
  <si>
    <t>Suzan Smith</t>
  </si>
  <si>
    <t>Melinda McCormick</t>
  </si>
  <si>
    <t>K. Parn</t>
  </si>
  <si>
    <t>Iowa City IA</t>
  </si>
  <si>
    <t>Wilbert</t>
  </si>
  <si>
    <t>Mendenhalls</t>
  </si>
  <si>
    <t>Busy Bee</t>
  </si>
  <si>
    <t>LM Floral</t>
  </si>
  <si>
    <t>VIEWING</t>
  </si>
  <si>
    <t>Criswell Sportsman 18ga camo</t>
  </si>
  <si>
    <t>Navy</t>
  </si>
  <si>
    <t>Small Custom</t>
  </si>
  <si>
    <t>*</t>
  </si>
  <si>
    <t>Trust</t>
  </si>
  <si>
    <t>Payment</t>
  </si>
  <si>
    <t>4 Copies - Kansas</t>
  </si>
  <si>
    <t>Charges are only for those items that you selected or that are required. If we are required by law or by a cemetery or crematory to use any items, we will explain the reasons in writing below. If you selected a funeral that may require embalming such as a funeral with a viewing, you may have to pay for embalming. You do not have to pay for embalming you did not approve of if you selected arrangements such as direct cremation or immediate burial. If we charged for embalming, we will explain why below.</t>
  </si>
  <si>
    <t xml:space="preserve">I/we hereby agree that I have examined the above stated items and found them to be correct and according to the arrangements requested and I hereby acknowledge receipt of a copy of this memorandum and agreement. I also acknowledge that I have read the General Price List, Casket Price List, and Outer Burial Container List along with statements concerning embalming, required purchase of caskets or outer burial containers and warranty disclaimers. I hereby represent that I have sufficient assets legally available for payment of the cash price and hereby agree and convenant jointly and severally to make a payment of $___________________________ according to these terms ___________________________________________________________________________________ ____________________________________________________________________________________________________________________________________. A late charge of ___________ per month amounting to ___________________ per year us applied to the unpaid balance beginning _____ days after this agreement. Any additional services or merchandise ordered or requested after the date of this agreement will be considered part of this agreement and cost thereof will be reflected on the final statement. </t>
  </si>
  <si>
    <t>__________________________________________________________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</si>
</sst>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409]mmmm\ d\,\ yyyy;@"/>
  </numFmts>
  <fonts count="34" x14ac:knownFonts="1">
    <font>
      <sz val="10"/>
      <color rgb="FF000000"/>
      <name val="Arial"/>
    </font>
    <font>
      <sz val="10"/>
      <name val="Arial"/>
      <family val="2"/>
    </font>
    <font>
      <b/>
      <sz val="12"/>
      <color theme="1"/>
      <name val="Arial"/>
      <family val="2"/>
    </font>
    <font>
      <sz val="8"/>
      <color theme="1"/>
      <name val="Arial"/>
      <family val="2"/>
    </font>
    <font>
      <sz val="10"/>
      <color theme="1"/>
      <name val="Arial"/>
      <family val="2"/>
    </font>
    <font>
      <sz val="8"/>
      <color rgb="FF000000"/>
      <name val="Arial"/>
      <family val="2"/>
    </font>
    <font>
      <sz val="10"/>
      <color theme="1"/>
      <name val="Arial"/>
      <family val="2"/>
    </font>
    <font>
      <b/>
      <sz val="8"/>
      <color theme="1"/>
      <name val="Arial"/>
      <family val="2"/>
    </font>
    <font>
      <sz val="9"/>
      <color theme="1"/>
      <name val="Arial"/>
      <family val="2"/>
    </font>
    <font>
      <sz val="10"/>
      <color rgb="FF000000"/>
      <name val="Arial"/>
      <family val="2"/>
    </font>
    <font>
      <sz val="9"/>
      <color theme="1"/>
      <name val="Arial"/>
      <family val="2"/>
    </font>
    <font>
      <sz val="9"/>
      <color rgb="FF000000"/>
      <name val="Arial"/>
      <family val="2"/>
    </font>
    <font>
      <sz val="8"/>
      <color rgb="FF000000"/>
      <name val="Arial"/>
      <family val="2"/>
    </font>
    <font>
      <sz val="8"/>
      <name val="Arial"/>
      <family val="2"/>
    </font>
    <font>
      <sz val="8"/>
      <color theme="1"/>
      <name val="Arial"/>
      <family val="2"/>
    </font>
    <font>
      <b/>
      <sz val="9"/>
      <color theme="1"/>
      <name val="Arial"/>
      <family val="2"/>
    </font>
    <font>
      <i/>
      <sz val="8"/>
      <color rgb="FF000000"/>
      <name val="Arial"/>
      <family val="2"/>
    </font>
    <font>
      <i/>
      <sz val="8"/>
      <name val="Arial"/>
      <family val="2"/>
    </font>
    <font>
      <i/>
      <sz val="8"/>
      <color theme="1"/>
      <name val="Arial"/>
      <family val="2"/>
    </font>
    <font>
      <i/>
      <sz val="8"/>
      <color rgb="FF000000"/>
      <name val="Arial"/>
      <family val="2"/>
      <scheme val="minor"/>
    </font>
    <font>
      <i/>
      <sz val="8"/>
      <color theme="1"/>
      <name val="Arial"/>
      <family val="2"/>
      <scheme val="minor"/>
    </font>
    <font>
      <b/>
      <sz val="12"/>
      <color theme="1"/>
      <name val="Arial"/>
      <family val="2"/>
    </font>
    <font>
      <b/>
      <sz val="8"/>
      <color theme="1"/>
      <name val="Arial"/>
      <family val="2"/>
    </font>
    <font>
      <b/>
      <sz val="16"/>
      <color theme="1"/>
      <name val="Arial"/>
      <family val="2"/>
    </font>
    <font>
      <sz val="16"/>
      <name val="Arial"/>
      <family val="2"/>
    </font>
    <font>
      <sz val="11"/>
      <color theme="1"/>
      <name val="Great Vibes"/>
    </font>
    <font>
      <sz val="11"/>
      <color rgb="FF000000"/>
      <name val="Great Vibes"/>
    </font>
    <font>
      <sz val="11"/>
      <name val="Great Vibes"/>
    </font>
    <font>
      <sz val="7"/>
      <color theme="1"/>
      <name val="Arial"/>
      <family val="2"/>
    </font>
    <font>
      <sz val="7"/>
      <color rgb="FF000000"/>
      <name val="Arial"/>
      <family val="2"/>
    </font>
    <font>
      <i/>
      <sz val="7"/>
      <color theme="1"/>
      <name val="Arial"/>
      <family val="2"/>
    </font>
    <font>
      <i/>
      <sz val="7"/>
      <color rgb="FF000000"/>
      <name val="Arial"/>
      <family val="2"/>
    </font>
    <font>
      <b/>
      <sz val="14"/>
      <color theme="1"/>
      <name val="Arial"/>
      <family val="2"/>
    </font>
    <font>
      <b/>
      <sz val="16"/>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tint="-4.9989318521683403E-2"/>
        <bgColor indexed="64"/>
      </patternFill>
    </fill>
  </fills>
  <borders count="16">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auto="1"/>
      </right>
      <top/>
      <bottom/>
      <diagonal/>
    </border>
    <border>
      <left style="medium">
        <color auto="1"/>
      </left>
      <right/>
      <top/>
      <bottom/>
      <diagonal/>
    </border>
    <border>
      <left style="medium">
        <color rgb="FF000000"/>
      </left>
      <right style="medium">
        <color rgb="FF000000"/>
      </right>
      <top style="medium">
        <color rgb="FF000000"/>
      </top>
      <bottom/>
      <diagonal/>
    </border>
    <border>
      <left/>
      <right/>
      <top/>
      <bottom style="medium">
        <color auto="1"/>
      </bottom>
      <diagonal/>
    </border>
  </borders>
  <cellStyleXfs count="2">
    <xf numFmtId="0" fontId="0" fillId="0" borderId="0"/>
    <xf numFmtId="44" fontId="9" fillId="0" borderId="0" applyFont="0" applyFill="0" applyBorder="0" applyAlignment="0" applyProtection="0"/>
  </cellStyleXfs>
  <cellXfs count="146">
    <xf numFmtId="0" fontId="0" fillId="0" borderId="0" xfId="0" applyFont="1" applyAlignment="1"/>
    <xf numFmtId="0" fontId="33" fillId="0" borderId="0" xfId="0" applyFont="1" applyAlignment="1" applyProtection="1">
      <alignment horizontal="center" vertical="top"/>
      <protection locked="0"/>
    </xf>
    <xf numFmtId="44" fontId="23" fillId="0" borderId="0" xfId="1" applyFont="1" applyBorder="1" applyAlignment="1" applyProtection="1">
      <alignment horizontal="center" vertical="top"/>
      <protection locked="0"/>
    </xf>
    <xf numFmtId="0" fontId="32" fillId="0" borderId="0" xfId="0" applyFont="1" applyBorder="1" applyAlignment="1">
      <alignment horizontal="center" vertical="top"/>
    </xf>
    <xf numFmtId="0" fontId="14" fillId="0" borderId="0" xfId="0" applyFont="1" applyAlignment="1">
      <alignment horizontal="right" vertical="center"/>
    </xf>
    <xf numFmtId="0" fontId="12" fillId="0" borderId="0" xfId="0" applyFont="1" applyAlignment="1">
      <alignment vertical="center"/>
    </xf>
    <xf numFmtId="0" fontId="14" fillId="0" borderId="0" xfId="0" applyFont="1" applyAlignment="1">
      <alignment vertical="center"/>
    </xf>
    <xf numFmtId="0" fontId="33" fillId="0" borderId="0" xfId="0" applyFont="1" applyBorder="1" applyAlignment="1" applyProtection="1">
      <alignment horizontal="center" vertical="top"/>
      <protection locked="0"/>
    </xf>
    <xf numFmtId="0" fontId="23" fillId="0" borderId="0" xfId="0" applyFont="1" applyBorder="1" applyAlignment="1" applyProtection="1">
      <alignment horizontal="center" vertical="top"/>
      <protection locked="0"/>
    </xf>
    <xf numFmtId="44" fontId="14" fillId="0" borderId="9" xfId="1" applyFont="1" applyBorder="1" applyAlignment="1">
      <alignment vertical="center"/>
    </xf>
    <xf numFmtId="44" fontId="12" fillId="0" borderId="9" xfId="0" applyNumberFormat="1" applyFont="1" applyBorder="1" applyAlignment="1">
      <alignment vertical="center"/>
    </xf>
    <xf numFmtId="0" fontId="2" fillId="0" borderId="2" xfId="0" applyFont="1" applyBorder="1" applyAlignment="1">
      <alignment horizontal="center" vertical="center" wrapText="1"/>
    </xf>
    <xf numFmtId="0" fontId="0" fillId="0" borderId="0" xfId="0" applyFont="1" applyAlignment="1">
      <alignment vertical="center"/>
    </xf>
    <xf numFmtId="0" fontId="3" fillId="0" borderId="6" xfId="0" applyFont="1" applyBorder="1" applyAlignment="1">
      <alignment vertical="center" wrapText="1"/>
    </xf>
    <xf numFmtId="0" fontId="3" fillId="0" borderId="0" xfId="0" applyFont="1" applyAlignment="1">
      <alignment vertical="center" wrapText="1"/>
    </xf>
    <xf numFmtId="0" fontId="5" fillId="2" borderId="0" xfId="0" applyFont="1" applyFill="1" applyAlignment="1">
      <alignment horizontal="left" vertical="center" wrapText="1"/>
    </xf>
    <xf numFmtId="0" fontId="6" fillId="0" borderId="4" xfId="0" applyFont="1" applyBorder="1" applyAlignment="1">
      <alignment vertical="center"/>
    </xf>
    <xf numFmtId="0" fontId="15" fillId="0" borderId="0" xfId="0" applyFont="1" applyBorder="1" applyAlignment="1">
      <alignment horizontal="right" vertical="center"/>
    </xf>
    <xf numFmtId="0" fontId="15" fillId="0" borderId="4" xfId="0" applyFont="1" applyBorder="1" applyAlignment="1">
      <alignment vertical="center"/>
    </xf>
    <xf numFmtId="0" fontId="11" fillId="0" borderId="0" xfId="0" applyFont="1" applyAlignment="1">
      <alignment vertical="center"/>
    </xf>
    <xf numFmtId="0" fontId="7" fillId="0" borderId="0" xfId="0" applyFont="1" applyAlignment="1">
      <alignment vertical="center"/>
    </xf>
    <xf numFmtId="0" fontId="8" fillId="0" borderId="0" xfId="0" applyFont="1" applyAlignment="1">
      <alignment horizontal="center" vertical="center"/>
    </xf>
    <xf numFmtId="0" fontId="0" fillId="0" borderId="13" xfId="0" applyFont="1" applyBorder="1" applyAlignment="1">
      <alignment vertical="center"/>
    </xf>
    <xf numFmtId="0" fontId="0" fillId="0" borderId="3" xfId="0" applyFont="1" applyBorder="1" applyAlignment="1">
      <alignment vertical="center"/>
    </xf>
    <xf numFmtId="0" fontId="0" fillId="0" borderId="5" xfId="0" applyFont="1" applyBorder="1" applyAlignment="1">
      <alignment vertical="center"/>
    </xf>
    <xf numFmtId="0" fontId="6" fillId="0" borderId="8" xfId="0" applyFont="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15" fillId="0" borderId="1" xfId="0" applyFont="1" applyBorder="1" applyAlignment="1">
      <alignment vertical="center"/>
    </xf>
    <xf numFmtId="0" fontId="15" fillId="0" borderId="2" xfId="0" applyFont="1" applyBorder="1" applyAlignment="1">
      <alignment vertical="center"/>
    </xf>
    <xf numFmtId="0" fontId="15" fillId="0" borderId="3" xfId="0" applyFont="1" applyBorder="1" applyAlignment="1">
      <alignment vertical="center"/>
    </xf>
    <xf numFmtId="0" fontId="22" fillId="0" borderId="4" xfId="0" applyFont="1" applyBorder="1" applyAlignment="1">
      <alignment vertical="center"/>
    </xf>
    <xf numFmtId="44" fontId="22" fillId="0" borderId="7" xfId="1" applyFont="1" applyBorder="1" applyAlignment="1" applyProtection="1">
      <alignment vertical="center"/>
      <protection locked="0"/>
    </xf>
    <xf numFmtId="0" fontId="14" fillId="0" borderId="4" xfId="0" applyFont="1" applyBorder="1" applyAlignment="1">
      <alignment vertical="center"/>
    </xf>
    <xf numFmtId="44" fontId="14" fillId="0" borderId="11" xfId="1" applyFont="1" applyBorder="1" applyAlignment="1" applyProtection="1">
      <alignment vertical="center"/>
      <protection locked="0"/>
    </xf>
    <xf numFmtId="44" fontId="14" fillId="0" borderId="7" xfId="1" applyFont="1" applyBorder="1" applyAlignment="1" applyProtection="1">
      <alignment vertical="center"/>
      <protection locked="0"/>
    </xf>
    <xf numFmtId="0" fontId="33" fillId="0" borderId="0" xfId="0" applyFont="1" applyAlignment="1">
      <alignment vertical="center"/>
    </xf>
    <xf numFmtId="0" fontId="14" fillId="0" borderId="5" xfId="0" applyFont="1" applyBorder="1" applyAlignment="1" applyProtection="1">
      <alignment vertical="center"/>
      <protection hidden="1"/>
    </xf>
    <xf numFmtId="44" fontId="22" fillId="3" borderId="9" xfId="1" applyFont="1" applyFill="1" applyBorder="1" applyAlignment="1">
      <alignment vertical="center"/>
    </xf>
    <xf numFmtId="0" fontId="14" fillId="0" borderId="8" xfId="0" applyFont="1" applyBorder="1" applyAlignment="1">
      <alignment vertical="center"/>
    </xf>
    <xf numFmtId="0" fontId="14" fillId="0" borderId="6" xfId="0" applyFont="1" applyBorder="1" applyAlignment="1">
      <alignment vertical="center"/>
    </xf>
    <xf numFmtId="0" fontId="14" fillId="0" borderId="7" xfId="0" applyFont="1" applyBorder="1" applyAlignment="1">
      <alignment vertical="center"/>
    </xf>
    <xf numFmtId="0" fontId="14" fillId="0" borderId="5" xfId="0" applyFont="1" applyBorder="1" applyAlignment="1">
      <alignment vertical="center"/>
    </xf>
    <xf numFmtId="0" fontId="12" fillId="0" borderId="0" xfId="0" applyFont="1" applyBorder="1" applyAlignment="1">
      <alignment vertical="center"/>
    </xf>
    <xf numFmtId="0" fontId="18" fillId="0" borderId="4" xfId="0" applyFont="1" applyBorder="1" applyAlignment="1">
      <alignment horizontal="left" vertical="center"/>
    </xf>
    <xf numFmtId="44" fontId="14" fillId="0" borderId="5" xfId="1" applyFont="1" applyBorder="1" applyAlignment="1">
      <alignment vertical="center"/>
    </xf>
    <xf numFmtId="0" fontId="31" fillId="0" borderId="0" xfId="0" applyFont="1" applyAlignment="1" applyProtection="1">
      <alignment vertical="center"/>
      <protection locked="0"/>
    </xf>
    <xf numFmtId="0" fontId="16" fillId="0" borderId="0" xfId="0" applyFont="1" applyAlignment="1">
      <alignment vertical="center"/>
    </xf>
    <xf numFmtId="0" fontId="31" fillId="0" borderId="0" xfId="0" applyFont="1" applyAlignment="1">
      <alignment vertical="center"/>
    </xf>
    <xf numFmtId="44" fontId="14" fillId="0" borderId="11" xfId="1" applyFont="1" applyBorder="1" applyAlignment="1" applyProtection="1">
      <alignment vertical="center"/>
    </xf>
    <xf numFmtId="0" fontId="14" fillId="0" borderId="4" xfId="0" applyFont="1" applyFill="1" applyBorder="1" applyAlignment="1">
      <alignment vertical="center"/>
    </xf>
    <xf numFmtId="0" fontId="15" fillId="0" borderId="2" xfId="0" applyFont="1" applyBorder="1" applyAlignment="1">
      <alignment horizontal="left" vertical="center"/>
    </xf>
    <xf numFmtId="0" fontId="12" fillId="0" borderId="2" xfId="0" applyFont="1" applyBorder="1" applyAlignment="1">
      <alignment vertical="center"/>
    </xf>
    <xf numFmtId="0" fontId="14" fillId="0" borderId="3" xfId="0" applyFont="1" applyBorder="1" applyAlignment="1">
      <alignment vertical="center"/>
    </xf>
    <xf numFmtId="44" fontId="14" fillId="0" borderId="9" xfId="0" applyNumberFormat="1" applyFont="1" applyBorder="1" applyAlignment="1">
      <alignment vertical="center"/>
    </xf>
    <xf numFmtId="44" fontId="22" fillId="3" borderId="14" xfId="1" applyFont="1" applyFill="1" applyBorder="1" applyAlignment="1">
      <alignment vertical="center"/>
    </xf>
    <xf numFmtId="0" fontId="14" fillId="0" borderId="2" xfId="0" applyFont="1" applyBorder="1" applyAlignment="1">
      <alignment vertical="center"/>
    </xf>
    <xf numFmtId="0" fontId="31" fillId="0" borderId="0" xfId="0" applyFont="1" applyBorder="1" applyAlignment="1" applyProtection="1">
      <alignment vertical="center"/>
      <protection locked="0"/>
    </xf>
    <xf numFmtId="0" fontId="12" fillId="0" borderId="12" xfId="0" applyFont="1" applyBorder="1" applyAlignment="1">
      <alignment vertical="center"/>
    </xf>
    <xf numFmtId="0" fontId="30" fillId="0" borderId="0" xfId="0" applyFont="1" applyAlignment="1" applyProtection="1">
      <alignment vertical="center"/>
      <protection locked="0"/>
    </xf>
    <xf numFmtId="0" fontId="15" fillId="0" borderId="0" xfId="0" applyFont="1" applyAlignment="1">
      <alignment vertical="center"/>
    </xf>
    <xf numFmtId="0" fontId="15" fillId="0" borderId="0" xfId="0" applyFont="1" applyBorder="1" applyAlignment="1">
      <alignment vertical="center"/>
    </xf>
    <xf numFmtId="0" fontId="28" fillId="0" borderId="0" xfId="0" applyFont="1" applyAlignment="1">
      <alignment vertical="center"/>
    </xf>
    <xf numFmtId="0" fontId="29" fillId="0" borderId="0" xfId="0" applyFont="1" applyAlignment="1">
      <alignment vertical="center"/>
    </xf>
    <xf numFmtId="0" fontId="12" fillId="0" borderId="1" xfId="0" applyFont="1" applyBorder="1" applyAlignment="1">
      <alignment vertical="center"/>
    </xf>
    <xf numFmtId="0" fontId="12" fillId="0" borderId="4" xfId="0" applyFont="1" applyBorder="1" applyAlignment="1">
      <alignment vertical="center"/>
    </xf>
    <xf numFmtId="0" fontId="15" fillId="0" borderId="8" xfId="0" applyFont="1" applyBorder="1" applyAlignment="1">
      <alignment vertical="center"/>
    </xf>
    <xf numFmtId="0" fontId="12" fillId="0" borderId="6" xfId="0" applyFont="1" applyBorder="1" applyAlignment="1">
      <alignment vertical="center"/>
    </xf>
    <xf numFmtId="0" fontId="12" fillId="0" borderId="8" xfId="0" applyFont="1" applyBorder="1" applyAlignment="1">
      <alignment vertical="center"/>
    </xf>
    <xf numFmtId="0" fontId="22" fillId="0" borderId="1" xfId="0" applyFont="1" applyBorder="1" applyAlignment="1">
      <alignment vertical="center"/>
    </xf>
    <xf numFmtId="0" fontId="14" fillId="0" borderId="4" xfId="0" applyFont="1" applyBorder="1" applyAlignment="1">
      <alignment horizontal="left" vertical="center"/>
    </xf>
    <xf numFmtId="0" fontId="12" fillId="0" borderId="0" xfId="0" applyFont="1" applyAlignment="1">
      <alignment horizontal="left" vertical="center"/>
    </xf>
    <xf numFmtId="0" fontId="0" fillId="0" borderId="12" xfId="0" applyFont="1" applyBorder="1" applyAlignment="1">
      <alignment vertical="center"/>
    </xf>
    <xf numFmtId="0" fontId="14" fillId="0" borderId="0" xfId="0" applyFont="1" applyAlignment="1">
      <alignment horizontal="left" vertical="center"/>
    </xf>
    <xf numFmtId="0" fontId="14" fillId="0" borderId="5" xfId="0" applyFont="1" applyBorder="1" applyAlignment="1">
      <alignment horizontal="left" vertical="center"/>
    </xf>
    <xf numFmtId="0" fontId="14" fillId="0" borderId="0" xfId="0" applyFont="1" applyBorder="1" applyAlignment="1">
      <alignment horizontal="left" vertical="center"/>
    </xf>
    <xf numFmtId="0" fontId="14" fillId="0" borderId="0" xfId="0" applyFont="1" applyAlignment="1">
      <alignment horizontal="center" vertical="center"/>
    </xf>
    <xf numFmtId="0" fontId="14" fillId="0" borderId="5" xfId="0" applyFont="1" applyBorder="1" applyAlignment="1">
      <alignment horizontal="center" vertical="center"/>
    </xf>
    <xf numFmtId="0" fontId="13" fillId="0" borderId="5" xfId="0" applyFont="1" applyBorder="1" applyAlignment="1">
      <alignment vertical="center"/>
    </xf>
    <xf numFmtId="0" fontId="13" fillId="0" borderId="6" xfId="0" applyFont="1" applyBorder="1" applyAlignment="1">
      <alignment vertical="center"/>
    </xf>
    <xf numFmtId="44" fontId="14" fillId="0" borderId="0" xfId="1" applyFont="1" applyBorder="1" applyAlignment="1">
      <alignment vertical="center"/>
    </xf>
    <xf numFmtId="44" fontId="14" fillId="0" borderId="9" xfId="1" applyFont="1" applyBorder="1" applyAlignment="1" applyProtection="1">
      <alignment vertical="center"/>
      <protection locked="0"/>
    </xf>
    <xf numFmtId="44" fontId="18" fillId="0" borderId="7" xfId="1" applyFont="1" applyBorder="1" applyAlignment="1" applyProtection="1">
      <alignment vertical="center"/>
      <protection locked="0"/>
    </xf>
    <xf numFmtId="0" fontId="30" fillId="0" borderId="0" xfId="0" applyFont="1" applyBorder="1" applyAlignment="1" applyProtection="1">
      <alignment horizontal="left" vertical="center"/>
      <protection locked="0"/>
    </xf>
    <xf numFmtId="0" fontId="12" fillId="0" borderId="0" xfId="0" applyFont="1" applyBorder="1" applyAlignment="1">
      <alignment horizontal="center" vertical="center"/>
    </xf>
    <xf numFmtId="0" fontId="11" fillId="0" borderId="6" xfId="0" applyFont="1" applyBorder="1" applyAlignment="1" applyProtection="1">
      <alignment horizontal="center" vertical="center"/>
      <protection locked="0"/>
    </xf>
    <xf numFmtId="0" fontId="11" fillId="0" borderId="7" xfId="0" applyFont="1" applyBorder="1" applyAlignment="1" applyProtection="1">
      <alignment horizontal="center" vertical="center"/>
      <protection locked="0"/>
    </xf>
    <xf numFmtId="0" fontId="14" fillId="0" borderId="4" xfId="0" applyFont="1" applyBorder="1" applyAlignment="1">
      <alignment horizontal="left" vertical="center"/>
    </xf>
    <xf numFmtId="0" fontId="14" fillId="0" borderId="0" xfId="0" applyFont="1" applyBorder="1" applyAlignment="1">
      <alignment horizontal="left" vertical="center"/>
    </xf>
    <xf numFmtId="0" fontId="14" fillId="0" borderId="0" xfId="0" applyFont="1" applyAlignment="1">
      <alignment horizontal="left" vertical="center"/>
    </xf>
    <xf numFmtId="0" fontId="14" fillId="0" borderId="5" xfId="0" applyFont="1" applyBorder="1" applyAlignment="1">
      <alignment horizontal="left" vertical="center"/>
    </xf>
    <xf numFmtId="0" fontId="15" fillId="0" borderId="1" xfId="0" applyFont="1" applyBorder="1" applyAlignment="1">
      <alignment horizontal="left" vertical="center"/>
    </xf>
    <xf numFmtId="0" fontId="15" fillId="0" borderId="2" xfId="0" applyFont="1" applyBorder="1" applyAlignment="1">
      <alignment horizontal="left" vertical="center"/>
    </xf>
    <xf numFmtId="0" fontId="10" fillId="0" borderId="6" xfId="0" applyFont="1" applyBorder="1" applyAlignment="1" applyProtection="1">
      <alignment horizontal="left" vertical="center"/>
      <protection locked="0"/>
    </xf>
    <xf numFmtId="0" fontId="10" fillId="0" borderId="7" xfId="0" applyFont="1" applyBorder="1" applyAlignment="1" applyProtection="1">
      <alignment horizontal="left" vertical="center"/>
      <protection locked="0"/>
    </xf>
    <xf numFmtId="164" fontId="10" fillId="0" borderId="10" xfId="0" applyNumberFormat="1" applyFont="1" applyBorder="1" applyAlignment="1" applyProtection="1">
      <alignment horizontal="left" vertical="center"/>
      <protection locked="0"/>
    </xf>
    <xf numFmtId="164" fontId="10" fillId="0" borderId="11" xfId="0" applyNumberFormat="1" applyFont="1" applyBorder="1" applyAlignment="1" applyProtection="1">
      <alignment horizontal="left" vertical="center"/>
      <protection locked="0"/>
    </xf>
    <xf numFmtId="14" fontId="10" fillId="0" borderId="10" xfId="0" applyNumberFormat="1" applyFont="1" applyBorder="1" applyAlignment="1" applyProtection="1">
      <alignment horizontal="left" vertical="center"/>
      <protection locked="0"/>
    </xf>
    <xf numFmtId="0" fontId="10" fillId="0" borderId="10" xfId="0" applyFont="1" applyBorder="1" applyAlignment="1" applyProtection="1">
      <alignment horizontal="left" vertical="center"/>
      <protection locked="0"/>
    </xf>
    <xf numFmtId="0" fontId="10" fillId="0" borderId="11" xfId="0" applyFont="1" applyBorder="1" applyAlignment="1" applyProtection="1">
      <alignment horizontal="left" vertical="center"/>
      <protection locked="0"/>
    </xf>
    <xf numFmtId="164" fontId="10" fillId="0" borderId="6" xfId="0" applyNumberFormat="1" applyFont="1" applyBorder="1" applyAlignment="1" applyProtection="1">
      <alignment horizontal="left" vertical="center"/>
      <protection locked="0"/>
    </xf>
    <xf numFmtId="164" fontId="10" fillId="0" borderId="7" xfId="0" applyNumberFormat="1" applyFont="1" applyBorder="1" applyAlignment="1" applyProtection="1">
      <alignment horizontal="left" vertical="center"/>
      <protection locked="0"/>
    </xf>
    <xf numFmtId="0" fontId="28" fillId="0" borderId="0" xfId="0" applyFont="1" applyBorder="1" applyAlignment="1" applyProtection="1">
      <alignment horizontal="left" vertical="center"/>
      <protection locked="0"/>
    </xf>
    <xf numFmtId="0" fontId="4" fillId="0" borderId="4" xfId="0" applyFont="1" applyBorder="1" applyAlignment="1">
      <alignment horizontal="center" vertical="center"/>
    </xf>
    <xf numFmtId="0" fontId="0" fillId="0" borderId="0" xfId="0" applyFont="1" applyAlignment="1">
      <alignment vertical="center"/>
    </xf>
    <xf numFmtId="0" fontId="1" fillId="0" borderId="5" xfId="0" applyFont="1" applyBorder="1" applyAlignment="1">
      <alignment vertical="center"/>
    </xf>
    <xf numFmtId="0" fontId="23" fillId="0" borderId="1" xfId="0" applyFont="1" applyBorder="1" applyAlignment="1">
      <alignment horizontal="center" vertical="center"/>
    </xf>
    <xf numFmtId="0" fontId="24" fillId="0" borderId="2" xfId="0" applyFont="1" applyBorder="1" applyAlignment="1">
      <alignment vertical="center"/>
    </xf>
    <xf numFmtId="0" fontId="24" fillId="0" borderId="3" xfId="0" applyFont="1" applyBorder="1" applyAlignment="1">
      <alignment vertical="center"/>
    </xf>
    <xf numFmtId="0" fontId="25" fillId="0" borderId="4" xfId="0" applyFont="1" applyBorder="1" applyAlignment="1">
      <alignment horizontal="center" vertical="center"/>
    </xf>
    <xf numFmtId="0" fontId="26" fillId="0" borderId="0" xfId="0" applyFont="1" applyAlignment="1">
      <alignment vertical="center"/>
    </xf>
    <xf numFmtId="0" fontId="27" fillId="0" borderId="5" xfId="0" applyFont="1" applyBorder="1" applyAlignment="1">
      <alignment vertical="center"/>
    </xf>
    <xf numFmtId="0" fontId="3" fillId="0" borderId="0" xfId="0" applyFont="1" applyAlignment="1">
      <alignment horizontal="right" vertical="center"/>
    </xf>
    <xf numFmtId="0" fontId="0" fillId="0" borderId="2" xfId="0" applyFont="1" applyBorder="1" applyAlignment="1" applyProtection="1">
      <alignment horizontal="center" vertical="center"/>
      <protection locked="0"/>
    </xf>
    <xf numFmtId="0" fontId="0" fillId="0" borderId="3" xfId="0" applyFont="1" applyBorder="1" applyAlignment="1" applyProtection="1">
      <alignment horizontal="center" vertical="center"/>
      <protection locked="0"/>
    </xf>
    <xf numFmtId="0" fontId="0" fillId="0" borderId="0" xfId="0" applyFont="1" applyBorder="1" applyAlignment="1" applyProtection="1">
      <alignment horizontal="center" vertical="center"/>
      <protection locked="0"/>
    </xf>
    <xf numFmtId="0" fontId="0" fillId="0" borderId="5" xfId="0" applyFont="1" applyBorder="1" applyAlignment="1" applyProtection="1">
      <alignment horizontal="center" vertical="center"/>
      <protection locked="0"/>
    </xf>
    <xf numFmtId="0" fontId="0" fillId="0" borderId="6" xfId="0" applyFont="1" applyBorder="1" applyAlignment="1" applyProtection="1">
      <alignment horizontal="center" vertical="center"/>
      <protection locked="0"/>
    </xf>
    <xf numFmtId="0" fontId="0" fillId="0" borderId="7" xfId="0" applyFont="1" applyBorder="1" applyAlignment="1" applyProtection="1">
      <alignment horizontal="center" vertical="center"/>
      <protection locked="0"/>
    </xf>
    <xf numFmtId="0" fontId="21" fillId="0" borderId="2" xfId="0" applyFont="1" applyBorder="1" applyAlignment="1">
      <alignment vertical="center"/>
    </xf>
    <xf numFmtId="0" fontId="21" fillId="0" borderId="3" xfId="0" applyFont="1" applyBorder="1" applyAlignment="1">
      <alignment vertical="center"/>
    </xf>
    <xf numFmtId="0" fontId="21" fillId="0" borderId="6" xfId="0" applyFont="1" applyBorder="1" applyAlignment="1">
      <alignment vertical="center"/>
    </xf>
    <xf numFmtId="0" fontId="21" fillId="0" borderId="7" xfId="0" applyFont="1" applyBorder="1" applyAlignment="1">
      <alignment vertical="center"/>
    </xf>
    <xf numFmtId="0" fontId="20" fillId="0" borderId="0" xfId="0" applyFont="1" applyAlignment="1">
      <alignment vertical="center"/>
    </xf>
    <xf numFmtId="0" fontId="20" fillId="0" borderId="5" xfId="0" applyFont="1" applyBorder="1" applyAlignment="1">
      <alignment vertical="center"/>
    </xf>
    <xf numFmtId="0" fontId="12" fillId="0" borderId="0" xfId="0" applyFont="1" applyBorder="1" applyAlignment="1" applyProtection="1">
      <alignment horizontal="right" vertical="center"/>
      <protection locked="0"/>
    </xf>
    <xf numFmtId="0" fontId="0" fillId="0" borderId="15" xfId="0" applyFont="1" applyBorder="1" applyAlignment="1"/>
    <xf numFmtId="0" fontId="0" fillId="0" borderId="7" xfId="0" applyFont="1" applyBorder="1" applyAlignment="1"/>
    <xf numFmtId="0" fontId="30" fillId="0" borderId="0" xfId="0" applyFont="1" applyBorder="1" applyAlignment="1" applyProtection="1">
      <alignment horizontal="right" vertical="center"/>
      <protection locked="0"/>
    </xf>
    <xf numFmtId="0" fontId="10" fillId="0" borderId="2" xfId="0" applyFont="1" applyBorder="1" applyAlignment="1" applyProtection="1">
      <alignment vertical="center"/>
    </xf>
    <xf numFmtId="0" fontId="0" fillId="0" borderId="0" xfId="0" applyFont="1" applyAlignment="1" applyProtection="1"/>
    <xf numFmtId="0" fontId="10" fillId="0" borderId="3" xfId="0" applyFont="1" applyBorder="1" applyAlignment="1" applyProtection="1">
      <alignment vertical="center"/>
    </xf>
    <xf numFmtId="0" fontId="18" fillId="0" borderId="0" xfId="0" applyFont="1" applyAlignment="1" applyProtection="1">
      <alignment vertical="center"/>
    </xf>
    <xf numFmtId="0" fontId="16" fillId="0" borderId="0" xfId="0" applyFont="1" applyAlignment="1" applyProtection="1">
      <alignment vertical="center"/>
    </xf>
    <xf numFmtId="0" fontId="17" fillId="0" borderId="5" xfId="0" applyFont="1" applyBorder="1" applyAlignment="1" applyProtection="1">
      <alignment vertical="center"/>
    </xf>
    <xf numFmtId="0" fontId="14" fillId="0" borderId="0" xfId="0" applyFont="1" applyAlignment="1" applyProtection="1">
      <alignment vertical="center"/>
    </xf>
    <xf numFmtId="0" fontId="12" fillId="0" borderId="0" xfId="0" applyFont="1" applyAlignment="1" applyProtection="1">
      <alignment vertical="center"/>
    </xf>
    <xf numFmtId="0" fontId="22" fillId="0" borderId="0" xfId="0" applyFont="1" applyAlignment="1" applyProtection="1">
      <alignment vertical="center"/>
    </xf>
    <xf numFmtId="44" fontId="22" fillId="3" borderId="9" xfId="1" applyFont="1" applyFill="1" applyBorder="1" applyAlignment="1" applyProtection="1">
      <alignment vertical="center"/>
    </xf>
    <xf numFmtId="0" fontId="0" fillId="0" borderId="0" xfId="0" applyFont="1" applyAlignment="1" applyProtection="1">
      <protection locked="0"/>
    </xf>
    <xf numFmtId="0" fontId="19" fillId="2" borderId="0" xfId="0" applyFont="1" applyFill="1" applyAlignment="1">
      <alignment horizontal="left" vertical="top" wrapText="1"/>
    </xf>
    <xf numFmtId="0" fontId="19" fillId="2" borderId="5"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76"/>
  <sheetViews>
    <sheetView tabSelected="1" zoomScale="140" zoomScaleNormal="140" workbookViewId="0">
      <selection activeCell="P74" sqref="P74"/>
    </sheetView>
  </sheetViews>
  <sheetFormatPr baseColWidth="10" defaultColWidth="14.5" defaultRowHeight="15.75" customHeight="1" x14ac:dyDescent="0.15"/>
  <cols>
    <col min="1" max="1" width="14" style="12" customWidth="1"/>
    <col min="2" max="2" width="9.83203125" style="12" customWidth="1"/>
    <col min="3" max="3" width="11.1640625" style="12" customWidth="1"/>
    <col min="4" max="4" width="2.33203125" style="12" customWidth="1"/>
    <col min="5" max="5" width="12.83203125" style="12" customWidth="1"/>
    <col min="6" max="6" width="0.1640625" style="12" customWidth="1"/>
    <col min="7" max="7" width="19.6640625" style="12" customWidth="1"/>
    <col min="8" max="8" width="4.1640625" style="12" customWidth="1"/>
    <col min="9" max="9" width="4.5" style="12" customWidth="1"/>
    <col min="10" max="10" width="2.1640625" style="12" customWidth="1"/>
    <col min="11" max="11" width="2.1640625" customWidth="1"/>
    <col min="12" max="12" width="12.83203125" style="12" customWidth="1"/>
    <col min="13" max="16384" width="14.5" style="12"/>
  </cols>
  <sheetData>
    <row r="1" spans="1:18" ht="19.5" customHeight="1" x14ac:dyDescent="0.15">
      <c r="A1" s="106" t="s">
        <v>0</v>
      </c>
      <c r="B1" s="107"/>
      <c r="C1" s="107"/>
      <c r="D1" s="107"/>
      <c r="E1" s="108"/>
      <c r="F1" s="11"/>
      <c r="G1" s="119" t="s">
        <v>1</v>
      </c>
      <c r="H1" s="119"/>
      <c r="I1" s="119"/>
      <c r="J1" s="119"/>
      <c r="L1" s="120"/>
    </row>
    <row r="2" spans="1:18" ht="17" customHeight="1" thickBot="1" x14ac:dyDescent="0.2">
      <c r="A2" s="109" t="s">
        <v>2</v>
      </c>
      <c r="B2" s="110"/>
      <c r="C2" s="110"/>
      <c r="D2" s="110"/>
      <c r="E2" s="111"/>
      <c r="F2" s="13"/>
      <c r="G2" s="121" t="s">
        <v>3</v>
      </c>
      <c r="H2" s="121"/>
      <c r="I2" s="121"/>
      <c r="J2" s="121"/>
      <c r="K2" s="126"/>
      <c r="L2" s="122"/>
    </row>
    <row r="3" spans="1:18" ht="12" customHeight="1" x14ac:dyDescent="0.15">
      <c r="A3" s="103" t="s">
        <v>4</v>
      </c>
      <c r="B3" s="104"/>
      <c r="C3" s="104"/>
      <c r="D3" s="104"/>
      <c r="E3" s="105"/>
      <c r="F3" s="14"/>
      <c r="G3" s="140" t="s">
        <v>131</v>
      </c>
      <c r="H3" s="140"/>
      <c r="I3" s="140"/>
      <c r="J3" s="140"/>
      <c r="K3" s="140"/>
      <c r="L3" s="141"/>
      <c r="O3" s="14"/>
      <c r="P3" s="14"/>
      <c r="Q3" s="14"/>
      <c r="R3" s="14"/>
    </row>
    <row r="4" spans="1:18" ht="13" x14ac:dyDescent="0.15">
      <c r="A4" s="103" t="s">
        <v>5</v>
      </c>
      <c r="B4" s="104"/>
      <c r="C4" s="104"/>
      <c r="D4" s="104"/>
      <c r="E4" s="105"/>
      <c r="F4" s="14"/>
      <c r="G4" s="140"/>
      <c r="H4" s="140"/>
      <c r="I4" s="140"/>
      <c r="J4" s="140"/>
      <c r="K4" s="140"/>
      <c r="L4" s="141"/>
    </row>
    <row r="5" spans="1:18" ht="13" x14ac:dyDescent="0.15">
      <c r="A5" s="103" t="s">
        <v>6</v>
      </c>
      <c r="B5" s="104"/>
      <c r="C5" s="104"/>
      <c r="D5" s="104"/>
      <c r="E5" s="105"/>
      <c r="F5" s="14"/>
      <c r="G5" s="140"/>
      <c r="H5" s="140"/>
      <c r="I5" s="140"/>
      <c r="J5" s="140"/>
      <c r="K5" s="140"/>
      <c r="L5" s="141"/>
      <c r="O5" s="15"/>
      <c r="P5" s="15"/>
      <c r="Q5" s="15"/>
      <c r="R5" s="15"/>
    </row>
    <row r="6" spans="1:18" ht="12" customHeight="1" thickBot="1" x14ac:dyDescent="0.2">
      <c r="A6" s="16"/>
      <c r="C6" s="17" t="s">
        <v>7</v>
      </c>
      <c r="D6" s="85">
        <v>2122</v>
      </c>
      <c r="E6" s="86"/>
      <c r="F6" s="14"/>
      <c r="G6" s="140"/>
      <c r="H6" s="140"/>
      <c r="I6" s="140"/>
      <c r="J6" s="140"/>
      <c r="K6" s="140"/>
      <c r="L6" s="141"/>
      <c r="O6" s="15"/>
      <c r="P6" s="15"/>
      <c r="Q6" s="15"/>
      <c r="R6" s="15"/>
    </row>
    <row r="7" spans="1:18" ht="12" customHeight="1" thickBot="1" x14ac:dyDescent="0.2">
      <c r="A7" s="18" t="s">
        <v>8</v>
      </c>
      <c r="B7" s="19"/>
      <c r="C7" s="93" t="s">
        <v>97</v>
      </c>
      <c r="D7" s="93"/>
      <c r="E7" s="94"/>
      <c r="F7" s="20"/>
      <c r="G7" s="140"/>
      <c r="H7" s="140"/>
      <c r="I7" s="140"/>
      <c r="J7" s="140"/>
      <c r="K7" s="140"/>
      <c r="L7" s="141"/>
      <c r="O7" s="15"/>
      <c r="P7" s="15"/>
      <c r="Q7" s="15"/>
      <c r="R7" s="15"/>
    </row>
    <row r="8" spans="1:18" ht="12" customHeight="1" thickBot="1" x14ac:dyDescent="0.2">
      <c r="A8" s="18" t="s">
        <v>9</v>
      </c>
      <c r="B8" s="19"/>
      <c r="C8" s="95">
        <v>44562</v>
      </c>
      <c r="D8" s="95"/>
      <c r="E8" s="96"/>
      <c r="G8" s="140"/>
      <c r="H8" s="140"/>
      <c r="I8" s="140"/>
      <c r="J8" s="140"/>
      <c r="K8" s="140"/>
      <c r="L8" s="141"/>
    </row>
    <row r="9" spans="1:18" ht="12" customHeight="1" thickBot="1" x14ac:dyDescent="0.2">
      <c r="A9" s="18" t="s">
        <v>10</v>
      </c>
      <c r="B9" s="19"/>
      <c r="C9" s="97" t="s">
        <v>98</v>
      </c>
      <c r="D9" s="98"/>
      <c r="E9" s="99"/>
      <c r="G9" s="140"/>
      <c r="H9" s="140"/>
      <c r="I9" s="140"/>
      <c r="J9" s="140"/>
      <c r="K9" s="140"/>
      <c r="L9" s="141"/>
      <c r="O9" s="21"/>
      <c r="P9" s="21"/>
      <c r="Q9" s="21"/>
      <c r="R9" s="21"/>
    </row>
    <row r="10" spans="1:18" ht="12" customHeight="1" thickBot="1" x14ac:dyDescent="0.2">
      <c r="A10" s="18" t="s">
        <v>11</v>
      </c>
      <c r="B10" s="19"/>
      <c r="C10" s="100">
        <v>44576</v>
      </c>
      <c r="D10" s="100"/>
      <c r="E10" s="101"/>
      <c r="G10" s="123"/>
      <c r="H10" s="123"/>
      <c r="I10" s="123"/>
      <c r="J10" s="123"/>
      <c r="L10" s="124"/>
      <c r="O10" s="21"/>
      <c r="P10" s="21"/>
      <c r="Q10" s="21"/>
      <c r="R10" s="21"/>
    </row>
    <row r="11" spans="1:18" ht="11.25" customHeight="1" x14ac:dyDescent="0.15">
      <c r="A11" s="22"/>
      <c r="E11" s="23"/>
      <c r="G11" s="20" t="s">
        <v>12</v>
      </c>
      <c r="H11" s="84" t="s">
        <v>123</v>
      </c>
      <c r="I11" s="84"/>
      <c r="J11" s="84"/>
      <c r="L11" s="24"/>
    </row>
    <row r="12" spans="1:18" ht="3.75" customHeight="1" thickBot="1" x14ac:dyDescent="0.2">
      <c r="A12" s="25"/>
      <c r="B12" s="26"/>
      <c r="C12" s="26"/>
      <c r="D12" s="26"/>
      <c r="E12" s="27"/>
      <c r="G12" s="26"/>
      <c r="H12" s="26"/>
      <c r="I12" s="26"/>
      <c r="J12" s="26"/>
      <c r="K12" s="126"/>
      <c r="L12" s="27"/>
    </row>
    <row r="13" spans="1:18" ht="11" customHeight="1" x14ac:dyDescent="0.15">
      <c r="A13" s="28" t="s">
        <v>13</v>
      </c>
      <c r="B13" s="29"/>
      <c r="C13" s="29"/>
      <c r="D13" s="29"/>
      <c r="E13" s="30"/>
      <c r="F13" s="5"/>
      <c r="G13" s="129" t="s">
        <v>77</v>
      </c>
      <c r="H13" s="129"/>
      <c r="I13" s="129"/>
      <c r="J13" s="129"/>
      <c r="K13" s="130"/>
      <c r="L13" s="131"/>
    </row>
    <row r="14" spans="1:18" ht="11" customHeight="1" thickBot="1" x14ac:dyDescent="0.2">
      <c r="A14" s="31" t="s">
        <v>14</v>
      </c>
      <c r="B14" s="83"/>
      <c r="C14" s="83"/>
      <c r="D14" s="1" t="s">
        <v>127</v>
      </c>
      <c r="E14" s="32">
        <v>50</v>
      </c>
      <c r="F14" s="5"/>
      <c r="G14" s="132" t="s">
        <v>78</v>
      </c>
      <c r="H14" s="133"/>
      <c r="I14" s="133"/>
      <c r="J14" s="133"/>
      <c r="K14" s="130"/>
      <c r="L14" s="134"/>
    </row>
    <row r="15" spans="1:18" ht="11" customHeight="1" thickBot="1" x14ac:dyDescent="0.2">
      <c r="A15" s="33" t="s">
        <v>15</v>
      </c>
      <c r="B15" s="6"/>
      <c r="C15" s="5"/>
      <c r="D15" s="2"/>
      <c r="E15" s="34">
        <v>1</v>
      </c>
      <c r="F15" s="5"/>
      <c r="G15" s="132" t="s">
        <v>79</v>
      </c>
      <c r="H15" s="133"/>
      <c r="I15" s="133"/>
      <c r="J15" s="133"/>
      <c r="K15" s="130"/>
      <c r="L15" s="134"/>
    </row>
    <row r="16" spans="1:18" ht="11" customHeight="1" thickBot="1" x14ac:dyDescent="0.2">
      <c r="A16" s="33" t="s">
        <v>16</v>
      </c>
      <c r="B16" s="6"/>
      <c r="C16" s="5"/>
      <c r="D16" s="2" t="s">
        <v>127</v>
      </c>
      <c r="E16" s="34">
        <v>1</v>
      </c>
      <c r="F16" s="5"/>
      <c r="G16" s="132" t="s">
        <v>80</v>
      </c>
      <c r="H16" s="133"/>
      <c r="I16" s="133"/>
      <c r="J16" s="133"/>
      <c r="K16" s="130"/>
      <c r="L16" s="134"/>
    </row>
    <row r="17" spans="1:12" ht="11" customHeight="1" thickBot="1" x14ac:dyDescent="0.2">
      <c r="A17" s="33" t="s">
        <v>17</v>
      </c>
      <c r="B17" s="6"/>
      <c r="C17" s="5"/>
      <c r="D17" s="2"/>
      <c r="E17" s="34">
        <v>1</v>
      </c>
      <c r="F17" s="5"/>
      <c r="G17" s="132" t="s">
        <v>81</v>
      </c>
      <c r="H17" s="133"/>
      <c r="I17" s="133"/>
      <c r="J17" s="133"/>
      <c r="K17" s="130"/>
      <c r="L17" s="134"/>
    </row>
    <row r="18" spans="1:12" ht="11" customHeight="1" thickBot="1" x14ac:dyDescent="0.2">
      <c r="A18" s="33" t="s">
        <v>18</v>
      </c>
      <c r="B18" s="6"/>
      <c r="C18" s="5"/>
      <c r="D18" s="2" t="s">
        <v>127</v>
      </c>
      <c r="E18" s="34">
        <v>1</v>
      </c>
      <c r="F18" s="5"/>
      <c r="G18" s="135" t="s">
        <v>19</v>
      </c>
      <c r="H18" s="83" t="s">
        <v>105</v>
      </c>
      <c r="I18" s="83"/>
      <c r="J18" s="83"/>
      <c r="K18" s="139"/>
      <c r="L18" s="35">
        <v>1</v>
      </c>
    </row>
    <row r="19" spans="1:12" ht="11" customHeight="1" thickBot="1" x14ac:dyDescent="0.2">
      <c r="A19" s="33" t="s">
        <v>20</v>
      </c>
      <c r="B19" s="6"/>
      <c r="C19" s="5"/>
      <c r="D19" s="2" t="s">
        <v>127</v>
      </c>
      <c r="E19" s="34">
        <v>1</v>
      </c>
      <c r="F19" s="5"/>
      <c r="G19" s="135" t="s">
        <v>21</v>
      </c>
      <c r="H19" s="83" t="s">
        <v>105</v>
      </c>
      <c r="I19" s="83"/>
      <c r="J19" s="83"/>
      <c r="K19" s="139"/>
      <c r="L19" s="35">
        <v>1</v>
      </c>
    </row>
    <row r="20" spans="1:12" ht="11" customHeight="1" thickBot="1" x14ac:dyDescent="0.2">
      <c r="A20" s="33" t="s">
        <v>22</v>
      </c>
      <c r="B20" s="6"/>
      <c r="C20" s="5"/>
      <c r="D20" s="2"/>
      <c r="E20" s="34">
        <v>1</v>
      </c>
      <c r="F20" s="5"/>
      <c r="G20" s="135" t="s">
        <v>23</v>
      </c>
      <c r="H20" s="83" t="s">
        <v>106</v>
      </c>
      <c r="I20" s="83"/>
      <c r="J20" s="83"/>
      <c r="K20" s="139"/>
      <c r="L20" s="35">
        <v>1</v>
      </c>
    </row>
    <row r="21" spans="1:12" ht="11" customHeight="1" thickBot="1" x14ac:dyDescent="0.2">
      <c r="A21" s="33" t="s">
        <v>24</v>
      </c>
      <c r="B21" s="6"/>
      <c r="C21" s="5"/>
      <c r="D21" s="2" t="s">
        <v>127</v>
      </c>
      <c r="E21" s="34">
        <v>1</v>
      </c>
      <c r="F21" s="5"/>
      <c r="G21" s="135" t="s">
        <v>23</v>
      </c>
      <c r="H21" s="83" t="s">
        <v>107</v>
      </c>
      <c r="I21" s="83"/>
      <c r="J21" s="83"/>
      <c r="K21" s="139"/>
      <c r="L21" s="35">
        <v>1</v>
      </c>
    </row>
    <row r="22" spans="1:12" ht="11" customHeight="1" thickBot="1" x14ac:dyDescent="0.2">
      <c r="A22" s="33" t="s">
        <v>25</v>
      </c>
      <c r="B22" s="6"/>
      <c r="C22" s="5"/>
      <c r="D22" s="2"/>
      <c r="E22" s="34">
        <v>1</v>
      </c>
      <c r="F22" s="5"/>
      <c r="G22" s="135" t="s">
        <v>23</v>
      </c>
      <c r="H22" s="83" t="s">
        <v>108</v>
      </c>
      <c r="I22" s="83"/>
      <c r="J22" s="83"/>
      <c r="K22" s="139"/>
      <c r="L22" s="35">
        <v>1</v>
      </c>
    </row>
    <row r="23" spans="1:12" ht="11" customHeight="1" thickBot="1" x14ac:dyDescent="0.2">
      <c r="A23" s="33" t="s">
        <v>26</v>
      </c>
      <c r="B23" s="6"/>
      <c r="C23" s="5"/>
      <c r="D23" s="2" t="s">
        <v>127</v>
      </c>
      <c r="E23" s="34">
        <v>1</v>
      </c>
      <c r="F23" s="5"/>
      <c r="G23" s="135" t="s">
        <v>23</v>
      </c>
      <c r="H23" s="83" t="s">
        <v>111</v>
      </c>
      <c r="I23" s="83"/>
      <c r="J23" s="83"/>
      <c r="K23" s="139"/>
      <c r="L23" s="35">
        <v>1</v>
      </c>
    </row>
    <row r="24" spans="1:12" ht="11" customHeight="1" thickBot="1" x14ac:dyDescent="0.2">
      <c r="A24" s="33" t="s">
        <v>27</v>
      </c>
      <c r="B24" s="6"/>
      <c r="C24" s="5"/>
      <c r="D24" s="2"/>
      <c r="E24" s="34">
        <v>1</v>
      </c>
      <c r="F24" s="5"/>
      <c r="G24" s="135" t="s">
        <v>28</v>
      </c>
      <c r="H24" s="83" t="s">
        <v>109</v>
      </c>
      <c r="I24" s="83"/>
      <c r="J24" s="83"/>
      <c r="K24" s="139"/>
      <c r="L24" s="35">
        <v>1</v>
      </c>
    </row>
    <row r="25" spans="1:12" ht="11" customHeight="1" thickBot="1" x14ac:dyDescent="0.2">
      <c r="A25" s="33" t="s">
        <v>29</v>
      </c>
      <c r="B25" s="6"/>
      <c r="C25" s="5"/>
      <c r="D25" s="2"/>
      <c r="E25" s="34">
        <v>1</v>
      </c>
      <c r="F25" s="5"/>
      <c r="G25" s="135" t="s">
        <v>92</v>
      </c>
      <c r="H25" s="83" t="s">
        <v>110</v>
      </c>
      <c r="I25" s="83"/>
      <c r="J25" s="83"/>
      <c r="K25" s="139"/>
      <c r="L25" s="35">
        <v>1</v>
      </c>
    </row>
    <row r="26" spans="1:12" ht="11" customHeight="1" thickBot="1" x14ac:dyDescent="0.2">
      <c r="A26" s="33" t="s">
        <v>30</v>
      </c>
      <c r="B26" s="6"/>
      <c r="C26" s="5"/>
      <c r="D26" s="2"/>
      <c r="E26" s="34">
        <v>1</v>
      </c>
      <c r="F26" s="5"/>
      <c r="G26" s="135" t="s">
        <v>92</v>
      </c>
      <c r="H26" s="83" t="s">
        <v>112</v>
      </c>
      <c r="I26" s="83"/>
      <c r="J26" s="83"/>
      <c r="K26" s="139"/>
      <c r="L26" s="35">
        <v>1</v>
      </c>
    </row>
    <row r="27" spans="1:12" ht="11" customHeight="1" thickBot="1" x14ac:dyDescent="0.2">
      <c r="A27" s="33" t="s">
        <v>30</v>
      </c>
      <c r="B27" s="6"/>
      <c r="C27" s="5"/>
      <c r="D27" s="2" t="s">
        <v>127</v>
      </c>
      <c r="E27" s="34">
        <v>1</v>
      </c>
      <c r="F27" s="5"/>
      <c r="G27" s="135" t="s">
        <v>93</v>
      </c>
      <c r="H27" s="83" t="s">
        <v>113</v>
      </c>
      <c r="I27" s="83"/>
      <c r="J27" s="83"/>
      <c r="K27" s="139"/>
      <c r="L27" s="35">
        <v>1</v>
      </c>
    </row>
    <row r="28" spans="1:12" ht="11" customHeight="1" thickBot="1" x14ac:dyDescent="0.2">
      <c r="A28" s="33"/>
      <c r="B28" s="5"/>
      <c r="C28" s="5"/>
      <c r="D28" s="36"/>
      <c r="E28" s="37"/>
      <c r="F28" s="5"/>
      <c r="G28" s="135" t="s">
        <v>94</v>
      </c>
      <c r="H28" s="83" t="s">
        <v>114</v>
      </c>
      <c r="I28" s="83"/>
      <c r="J28" s="83"/>
      <c r="K28" s="139"/>
      <c r="L28" s="35">
        <v>1</v>
      </c>
    </row>
    <row r="29" spans="1:12" ht="11" customHeight="1" thickBot="1" x14ac:dyDescent="0.2">
      <c r="A29" s="31" t="s">
        <v>31</v>
      </c>
      <c r="B29" s="5"/>
      <c r="C29" s="5"/>
      <c r="D29" s="5"/>
      <c r="E29" s="38">
        <f>IF((SUM(E14:E27)-SUMIF(D14:D27,"*~**",E14:E27)) = 0, "", (SUM(E14:E27)-SUMIF(D14:D27,"*~**",E14:E27)))</f>
        <v>7</v>
      </c>
      <c r="F29" s="5"/>
      <c r="G29" s="135" t="s">
        <v>94</v>
      </c>
      <c r="H29" s="83" t="s">
        <v>115</v>
      </c>
      <c r="I29" s="83"/>
      <c r="J29" s="83"/>
      <c r="K29" s="139"/>
      <c r="L29" s="35">
        <v>1</v>
      </c>
    </row>
    <row r="30" spans="1:12" ht="11" customHeight="1" thickBot="1" x14ac:dyDescent="0.2">
      <c r="A30" s="39"/>
      <c r="B30" s="40"/>
      <c r="C30" s="40"/>
      <c r="D30" s="40"/>
      <c r="E30" s="41"/>
      <c r="F30" s="5"/>
      <c r="G30" s="135" t="s">
        <v>94</v>
      </c>
      <c r="H30" s="83" t="s">
        <v>116</v>
      </c>
      <c r="I30" s="83"/>
      <c r="J30" s="83"/>
      <c r="K30" s="139"/>
      <c r="L30" s="35">
        <v>1</v>
      </c>
    </row>
    <row r="31" spans="1:12" ht="11" customHeight="1" thickBot="1" x14ac:dyDescent="0.2">
      <c r="A31" s="91" t="s">
        <v>32</v>
      </c>
      <c r="B31" s="92"/>
      <c r="C31" s="92"/>
      <c r="D31" s="5"/>
      <c r="E31" s="42"/>
      <c r="F31" s="5"/>
      <c r="G31" s="135" t="s">
        <v>95</v>
      </c>
      <c r="H31" s="83" t="s">
        <v>117</v>
      </c>
      <c r="I31" s="83"/>
      <c r="J31" s="83"/>
      <c r="K31" s="139"/>
      <c r="L31" s="35">
        <v>1</v>
      </c>
    </row>
    <row r="32" spans="1:12" ht="11" customHeight="1" thickBot="1" x14ac:dyDescent="0.2">
      <c r="A32" s="33" t="s">
        <v>33</v>
      </c>
      <c r="B32" s="5"/>
      <c r="C32" s="43"/>
      <c r="D32" s="7"/>
      <c r="E32" s="35">
        <v>10</v>
      </c>
      <c r="F32" s="5"/>
      <c r="G32" s="135" t="s">
        <v>34</v>
      </c>
      <c r="H32" s="83" t="s">
        <v>130</v>
      </c>
      <c r="I32" s="83"/>
      <c r="J32" s="83"/>
      <c r="K32" s="139"/>
      <c r="L32" s="35">
        <v>1</v>
      </c>
    </row>
    <row r="33" spans="1:12" ht="11" customHeight="1" thickBot="1" x14ac:dyDescent="0.2">
      <c r="A33" s="44" t="s">
        <v>35</v>
      </c>
      <c r="B33" s="83" t="s">
        <v>124</v>
      </c>
      <c r="C33" s="83"/>
      <c r="D33" s="3"/>
      <c r="E33" s="45"/>
      <c r="F33" s="5"/>
      <c r="G33" s="135" t="s">
        <v>36</v>
      </c>
      <c r="H33" s="83" t="s">
        <v>118</v>
      </c>
      <c r="I33" s="83"/>
      <c r="J33" s="83"/>
      <c r="K33" s="139"/>
      <c r="L33" s="35">
        <v>1</v>
      </c>
    </row>
    <row r="34" spans="1:12" ht="11" customHeight="1" thickBot="1" x14ac:dyDescent="0.2">
      <c r="A34" s="33" t="s">
        <v>37</v>
      </c>
      <c r="B34" s="5"/>
      <c r="C34" s="5"/>
      <c r="D34" s="7" t="s">
        <v>127</v>
      </c>
      <c r="E34" s="35">
        <v>10</v>
      </c>
      <c r="F34" s="5"/>
      <c r="G34" s="135" t="s">
        <v>38</v>
      </c>
      <c r="H34" s="83" t="s">
        <v>119</v>
      </c>
      <c r="I34" s="83"/>
      <c r="J34" s="83"/>
      <c r="K34" s="139"/>
      <c r="L34" s="35">
        <v>1</v>
      </c>
    </row>
    <row r="35" spans="1:12" ht="11" customHeight="1" thickBot="1" x14ac:dyDescent="0.2">
      <c r="A35" s="44" t="s">
        <v>35</v>
      </c>
      <c r="B35" s="83" t="s">
        <v>99</v>
      </c>
      <c r="C35" s="83"/>
      <c r="D35" s="3"/>
      <c r="E35" s="45"/>
      <c r="F35" s="5"/>
      <c r="G35" s="135" t="s">
        <v>39</v>
      </c>
      <c r="H35" s="83" t="s">
        <v>120</v>
      </c>
      <c r="I35" s="83"/>
      <c r="J35" s="83"/>
      <c r="K35" s="139"/>
      <c r="L35" s="35">
        <v>1</v>
      </c>
    </row>
    <row r="36" spans="1:12" ht="11" customHeight="1" thickBot="1" x14ac:dyDescent="0.2">
      <c r="A36" s="33" t="s">
        <v>40</v>
      </c>
      <c r="B36" s="5"/>
      <c r="C36" s="5"/>
      <c r="D36" s="7"/>
      <c r="E36" s="35">
        <v>10</v>
      </c>
      <c r="F36" s="5"/>
      <c r="G36" s="135" t="s">
        <v>30</v>
      </c>
      <c r="H36" s="83" t="s">
        <v>121</v>
      </c>
      <c r="I36" s="83"/>
      <c r="J36" s="83"/>
      <c r="K36" s="139"/>
      <c r="L36" s="35">
        <v>1</v>
      </c>
    </row>
    <row r="37" spans="1:12" ht="11" customHeight="1" thickBot="1" x14ac:dyDescent="0.2">
      <c r="A37" s="44" t="s">
        <v>35</v>
      </c>
      <c r="B37" s="83" t="s">
        <v>100</v>
      </c>
      <c r="C37" s="83"/>
      <c r="D37" s="3"/>
      <c r="E37" s="45"/>
      <c r="F37" s="5"/>
      <c r="G37" s="135" t="s">
        <v>30</v>
      </c>
      <c r="H37" s="83" t="s">
        <v>122</v>
      </c>
      <c r="I37" s="83"/>
      <c r="J37" s="83"/>
      <c r="K37" s="139"/>
      <c r="L37" s="35">
        <v>1</v>
      </c>
    </row>
    <row r="38" spans="1:12" ht="11" customHeight="1" thickBot="1" x14ac:dyDescent="0.2">
      <c r="A38" s="33" t="s">
        <v>76</v>
      </c>
      <c r="B38" s="5"/>
      <c r="C38" s="5"/>
      <c r="D38" s="8" t="s">
        <v>127</v>
      </c>
      <c r="E38" s="35">
        <v>1</v>
      </c>
      <c r="F38" s="5"/>
      <c r="G38" s="136"/>
      <c r="H38" s="128" t="s">
        <v>128</v>
      </c>
      <c r="I38" s="128"/>
      <c r="J38" s="128"/>
      <c r="K38" s="8" t="s">
        <v>127</v>
      </c>
      <c r="L38" s="82">
        <v>20</v>
      </c>
    </row>
    <row r="39" spans="1:12" ht="11" customHeight="1" thickBot="1" x14ac:dyDescent="0.2">
      <c r="A39" s="33" t="s">
        <v>41</v>
      </c>
      <c r="B39" s="46" t="s">
        <v>125</v>
      </c>
      <c r="C39" s="47"/>
      <c r="D39" s="8"/>
      <c r="E39" s="34">
        <v>1</v>
      </c>
      <c r="F39" s="5"/>
      <c r="G39" s="137" t="s">
        <v>42</v>
      </c>
      <c r="H39" s="136"/>
      <c r="I39" s="136"/>
      <c r="J39" s="136"/>
      <c r="K39" s="130"/>
      <c r="L39" s="138">
        <f>IF((SUM(L18:L38) - SUMIF(K18:K38,"*~**",L18:L38)) &gt; 0, (SUM(L18:L37)-SUMIF(K18:K38,"*~**",L18:L38)), "")</f>
        <v>0</v>
      </c>
    </row>
    <row r="40" spans="1:12" ht="11" customHeight="1" thickBot="1" x14ac:dyDescent="0.2">
      <c r="A40" s="33" t="s">
        <v>43</v>
      </c>
      <c r="B40" s="48"/>
      <c r="C40" s="47"/>
      <c r="D40" s="8" t="s">
        <v>127</v>
      </c>
      <c r="E40" s="34">
        <v>1</v>
      </c>
      <c r="F40" s="5"/>
      <c r="G40" s="132" t="s">
        <v>83</v>
      </c>
      <c r="H40" s="133"/>
      <c r="I40" s="133"/>
      <c r="J40" s="133"/>
      <c r="K40" s="130"/>
      <c r="L40" s="134"/>
    </row>
    <row r="41" spans="1:12" ht="11" customHeight="1" thickBot="1" x14ac:dyDescent="0.2">
      <c r="A41" s="33" t="s">
        <v>44</v>
      </c>
      <c r="B41" s="46" t="s">
        <v>126</v>
      </c>
      <c r="C41" s="5"/>
      <c r="D41" s="8"/>
      <c r="E41" s="34">
        <v>1</v>
      </c>
      <c r="F41" s="5"/>
      <c r="G41" s="132" t="s">
        <v>84</v>
      </c>
      <c r="H41" s="133"/>
      <c r="I41" s="133"/>
      <c r="J41" s="133"/>
      <c r="K41" s="130"/>
      <c r="L41" s="134"/>
    </row>
    <row r="42" spans="1:12" ht="11" customHeight="1" thickBot="1" x14ac:dyDescent="0.2">
      <c r="A42" s="33" t="s">
        <v>45</v>
      </c>
      <c r="B42" s="46">
        <v>3</v>
      </c>
      <c r="C42" s="5"/>
      <c r="D42" s="8"/>
      <c r="E42" s="49">
        <f>IF(PRODUCT(B42, 15) = 0, "", PRODUCT(B42, 15))</f>
        <v>45</v>
      </c>
      <c r="F42" s="5"/>
      <c r="G42" s="132" t="s">
        <v>85</v>
      </c>
      <c r="H42" s="133"/>
      <c r="I42" s="133"/>
      <c r="J42" s="133"/>
      <c r="K42" s="130"/>
      <c r="L42" s="134"/>
    </row>
    <row r="43" spans="1:12" ht="11" customHeight="1" thickBot="1" x14ac:dyDescent="0.2">
      <c r="A43" s="33" t="s">
        <v>46</v>
      </c>
      <c r="B43" s="46" t="s">
        <v>101</v>
      </c>
      <c r="C43" s="5"/>
      <c r="D43" s="8"/>
      <c r="E43" s="34">
        <v>1</v>
      </c>
      <c r="F43" s="5"/>
      <c r="G43" s="132" t="s">
        <v>86</v>
      </c>
      <c r="H43" s="133"/>
      <c r="I43" s="133"/>
      <c r="J43" s="133"/>
      <c r="K43" s="130"/>
      <c r="L43" s="134"/>
    </row>
    <row r="44" spans="1:12" ht="11" customHeight="1" thickBot="1" x14ac:dyDescent="0.2">
      <c r="A44" s="33" t="s">
        <v>47</v>
      </c>
      <c r="B44" s="5"/>
      <c r="C44" s="5"/>
      <c r="D44" s="8"/>
      <c r="E44" s="34">
        <v>1</v>
      </c>
      <c r="F44" s="5"/>
      <c r="G44" s="5"/>
      <c r="H44" s="5"/>
      <c r="I44" s="5"/>
      <c r="J44" s="5"/>
      <c r="L44" s="42"/>
    </row>
    <row r="45" spans="1:12" ht="11" customHeight="1" thickBot="1" x14ac:dyDescent="0.2">
      <c r="A45" s="33" t="s">
        <v>48</v>
      </c>
      <c r="B45" s="5"/>
      <c r="C45" s="5"/>
      <c r="D45" s="8"/>
      <c r="E45" s="34">
        <v>1</v>
      </c>
      <c r="F45" s="5"/>
      <c r="G45" s="5"/>
      <c r="H45" s="5"/>
      <c r="I45" s="5"/>
      <c r="J45" s="5"/>
      <c r="K45" s="126"/>
      <c r="L45" s="42"/>
    </row>
    <row r="46" spans="1:12" ht="11" customHeight="1" thickBot="1" x14ac:dyDescent="0.2">
      <c r="A46" s="50" t="s">
        <v>49</v>
      </c>
      <c r="B46" s="102" t="s">
        <v>102</v>
      </c>
      <c r="C46" s="102"/>
      <c r="D46" s="8"/>
      <c r="E46" s="34">
        <v>1</v>
      </c>
      <c r="F46" s="5"/>
      <c r="G46" s="51" t="s">
        <v>51</v>
      </c>
      <c r="H46" s="51"/>
      <c r="I46" s="51"/>
      <c r="J46" s="52"/>
      <c r="L46" s="53"/>
    </row>
    <row r="47" spans="1:12" ht="11" customHeight="1" thickBot="1" x14ac:dyDescent="0.2">
      <c r="A47" s="33" t="s">
        <v>49</v>
      </c>
      <c r="B47" s="102" t="s">
        <v>102</v>
      </c>
      <c r="C47" s="102"/>
      <c r="D47" s="8"/>
      <c r="E47" s="34">
        <v>1</v>
      </c>
      <c r="F47" s="5"/>
      <c r="G47" s="6" t="s">
        <v>53</v>
      </c>
      <c r="H47" s="6"/>
      <c r="I47" s="6"/>
      <c r="J47" s="5"/>
      <c r="L47" s="54">
        <f>E29</f>
        <v>7</v>
      </c>
    </row>
    <row r="48" spans="1:12" ht="11" customHeight="1" thickBot="1" x14ac:dyDescent="0.2">
      <c r="A48" s="18" t="s">
        <v>50</v>
      </c>
      <c r="B48" s="5"/>
      <c r="C48" s="5"/>
      <c r="D48" s="5"/>
      <c r="E48" s="55">
        <f>IF((SUM(E32,E34,E36,E38:E47) - SUMIF(D32:D47,"*~**",E32:E47)) &gt; 0, (SUM(E32,E34,E36,E38:E47) - SUMIF(D32:D47,"*~**",E32:E47)), "")</f>
        <v>72</v>
      </c>
      <c r="F48" s="5"/>
      <c r="G48" s="6" t="s">
        <v>54</v>
      </c>
      <c r="H48" s="6"/>
      <c r="I48" s="6"/>
      <c r="J48" s="5"/>
      <c r="L48" s="9">
        <f>E48</f>
        <v>72</v>
      </c>
    </row>
    <row r="49" spans="1:12" ht="11" customHeight="1" thickBot="1" x14ac:dyDescent="0.2">
      <c r="A49" s="91" t="s">
        <v>52</v>
      </c>
      <c r="B49" s="92"/>
      <c r="C49" s="92"/>
      <c r="D49" s="56"/>
      <c r="E49" s="53"/>
      <c r="F49" s="52"/>
      <c r="G49" s="6" t="s">
        <v>56</v>
      </c>
      <c r="H49" s="6"/>
      <c r="I49" s="6"/>
      <c r="J49" s="5"/>
      <c r="L49" s="9">
        <f>E58</f>
        <v>7</v>
      </c>
    </row>
    <row r="50" spans="1:12" ht="11" customHeight="1" thickBot="1" x14ac:dyDescent="0.2">
      <c r="A50" s="33" t="s">
        <v>96</v>
      </c>
      <c r="B50" s="6"/>
      <c r="C50" s="57" t="s">
        <v>103</v>
      </c>
      <c r="D50" s="1" t="s">
        <v>127</v>
      </c>
      <c r="E50" s="35">
        <v>1</v>
      </c>
      <c r="F50" s="5"/>
      <c r="G50" s="6" t="s">
        <v>58</v>
      </c>
      <c r="H50" s="6"/>
      <c r="I50" s="6"/>
      <c r="J50" s="5"/>
      <c r="L50" s="9">
        <f>L39</f>
        <v>0</v>
      </c>
    </row>
    <row r="51" spans="1:12" ht="11" customHeight="1" thickBot="1" x14ac:dyDescent="0.2">
      <c r="A51" s="33" t="s">
        <v>55</v>
      </c>
      <c r="B51" s="6"/>
      <c r="C51" s="5"/>
      <c r="D51" s="8"/>
      <c r="E51" s="34">
        <v>1</v>
      </c>
      <c r="F51" s="5"/>
      <c r="G51" s="5"/>
      <c r="H51" s="5"/>
      <c r="I51" s="5"/>
      <c r="J51" s="5"/>
      <c r="L51" s="58"/>
    </row>
    <row r="52" spans="1:12" ht="11" customHeight="1" thickBot="1" x14ac:dyDescent="0.2">
      <c r="A52" s="33" t="s">
        <v>57</v>
      </c>
      <c r="B52" s="59" t="s">
        <v>104</v>
      </c>
      <c r="C52" s="5"/>
      <c r="D52" s="8"/>
      <c r="E52" s="34">
        <v>1</v>
      </c>
      <c r="F52" s="5"/>
      <c r="G52" s="4" t="s">
        <v>91</v>
      </c>
      <c r="H52" s="6"/>
      <c r="I52" s="6"/>
      <c r="J52" s="5"/>
      <c r="L52" s="10">
        <f>IF(PRODUCT(0.08475,SUM(E34,E32,E43,E46)) = 0, "", PRODUCT(0.08475,SUM(E34,E32,E43,E46)))</f>
        <v>1.8645</v>
      </c>
    </row>
    <row r="53" spans="1:12" ht="11" customHeight="1" thickBot="1" x14ac:dyDescent="0.2">
      <c r="A53" s="33" t="s">
        <v>59</v>
      </c>
      <c r="B53" s="6"/>
      <c r="C53" s="5"/>
      <c r="D53" s="8"/>
      <c r="E53" s="34">
        <v>1</v>
      </c>
      <c r="F53" s="5"/>
      <c r="G53" s="60" t="s">
        <v>61</v>
      </c>
      <c r="H53" s="5"/>
      <c r="I53" s="6"/>
      <c r="J53" s="5"/>
      <c r="L53" s="38">
        <f>IF(SUM(L47:L52)&gt;0,SUM(L47:L52),"")</f>
        <v>87.864500000000007</v>
      </c>
    </row>
    <row r="54" spans="1:12" ht="11" customHeight="1" thickBot="1" x14ac:dyDescent="0.2">
      <c r="A54" s="33" t="s">
        <v>60</v>
      </c>
      <c r="B54" s="6"/>
      <c r="C54" s="5"/>
      <c r="D54" s="8"/>
      <c r="E54" s="34">
        <v>1</v>
      </c>
      <c r="F54" s="5"/>
      <c r="G54" s="112" t="s">
        <v>129</v>
      </c>
      <c r="H54" s="125"/>
      <c r="I54" s="125"/>
      <c r="J54" s="125"/>
      <c r="L54" s="81"/>
    </row>
    <row r="55" spans="1:12" ht="11" customHeight="1" thickBot="1" x14ac:dyDescent="0.2">
      <c r="A55" s="33" t="s">
        <v>62</v>
      </c>
      <c r="B55" s="6"/>
      <c r="C55" s="5"/>
      <c r="D55" s="8"/>
      <c r="E55" s="34">
        <v>1</v>
      </c>
      <c r="F55" s="5"/>
      <c r="G55" s="61" t="s">
        <v>64</v>
      </c>
      <c r="H55" s="67"/>
      <c r="I55" s="40"/>
      <c r="J55" s="67"/>
      <c r="K55" s="127"/>
      <c r="L55" s="55">
        <f>IF(SUM(L53,-L54) &gt; 0, SUM(L53,-L54), "")</f>
        <v>87.864500000000007</v>
      </c>
    </row>
    <row r="56" spans="1:12" ht="11" customHeight="1" thickBot="1" x14ac:dyDescent="0.2">
      <c r="A56" s="33" t="s">
        <v>63</v>
      </c>
      <c r="B56" s="62"/>
      <c r="C56" s="63"/>
      <c r="D56" s="8"/>
      <c r="E56" s="34">
        <v>1</v>
      </c>
      <c r="F56" s="64"/>
      <c r="G56" s="113"/>
      <c r="H56" s="113"/>
      <c r="I56" s="113"/>
      <c r="J56" s="113"/>
      <c r="K56" s="113"/>
      <c r="L56" s="114"/>
    </row>
    <row r="57" spans="1:12" ht="11" customHeight="1" thickBot="1" x14ac:dyDescent="0.2">
      <c r="A57" s="33" t="s">
        <v>30</v>
      </c>
      <c r="B57" s="62"/>
      <c r="C57" s="63"/>
      <c r="D57" s="8"/>
      <c r="E57" s="34">
        <v>1</v>
      </c>
      <c r="F57" s="65"/>
      <c r="G57" s="115"/>
      <c r="H57" s="115"/>
      <c r="I57" s="115"/>
      <c r="J57" s="115"/>
      <c r="K57" s="115"/>
      <c r="L57" s="116"/>
    </row>
    <row r="58" spans="1:12" ht="11" customHeight="1" thickBot="1" x14ac:dyDescent="0.2">
      <c r="A58" s="66" t="s">
        <v>65</v>
      </c>
      <c r="B58" s="40"/>
      <c r="C58" s="67"/>
      <c r="D58" s="67"/>
      <c r="E58" s="38">
        <f>IF(SUM(E50:E57)-SUMIF(D50:D57,"*~**",E50:E57)&gt;0,SUM(E50:E57)-SUMIF(D50:D57,"*~**",E50:E57),"")</f>
        <v>7</v>
      </c>
      <c r="F58" s="68"/>
      <c r="G58" s="117"/>
      <c r="H58" s="117"/>
      <c r="I58" s="117"/>
      <c r="J58" s="117"/>
      <c r="K58" s="117"/>
      <c r="L58" s="118"/>
    </row>
    <row r="59" spans="1:12" ht="13.5" customHeight="1" x14ac:dyDescent="0.15">
      <c r="A59" s="69" t="s">
        <v>66</v>
      </c>
      <c r="B59" s="52"/>
      <c r="C59" s="52"/>
      <c r="D59" s="52"/>
      <c r="E59" s="52"/>
      <c r="F59" s="52"/>
      <c r="G59" s="43"/>
      <c r="H59" s="43"/>
      <c r="I59" s="43"/>
      <c r="J59" s="43"/>
      <c r="L59" s="42"/>
    </row>
    <row r="60" spans="1:12" ht="11.25" customHeight="1" x14ac:dyDescent="0.15">
      <c r="A60" s="142" t="s">
        <v>132</v>
      </c>
      <c r="B60" s="143"/>
      <c r="C60" s="143"/>
      <c r="D60" s="143"/>
      <c r="E60" s="143"/>
      <c r="F60" s="143"/>
      <c r="G60" s="143"/>
      <c r="H60" s="143"/>
      <c r="I60" s="143"/>
      <c r="J60" s="143"/>
      <c r="K60" s="143"/>
      <c r="L60" s="144"/>
    </row>
    <row r="61" spans="1:12" ht="11.25" customHeight="1" x14ac:dyDescent="0.15">
      <c r="A61" s="142"/>
      <c r="B61" s="143"/>
      <c r="C61" s="143"/>
      <c r="D61" s="143"/>
      <c r="E61" s="143"/>
      <c r="F61" s="143"/>
      <c r="G61" s="143"/>
      <c r="H61" s="143"/>
      <c r="I61" s="143"/>
      <c r="J61" s="143"/>
      <c r="K61" s="143"/>
      <c r="L61" s="144"/>
    </row>
    <row r="62" spans="1:12" ht="11.25" customHeight="1" x14ac:dyDescent="0.15">
      <c r="A62" s="142"/>
      <c r="B62" s="143"/>
      <c r="C62" s="143"/>
      <c r="D62" s="143"/>
      <c r="E62" s="143"/>
      <c r="F62" s="143"/>
      <c r="G62" s="143"/>
      <c r="H62" s="143"/>
      <c r="I62" s="143"/>
      <c r="J62" s="143"/>
      <c r="K62" s="143"/>
      <c r="L62" s="144"/>
    </row>
    <row r="63" spans="1:12" ht="11.25" customHeight="1" x14ac:dyDescent="0.15">
      <c r="A63" s="142"/>
      <c r="B63" s="143"/>
      <c r="C63" s="143"/>
      <c r="D63" s="143"/>
      <c r="E63" s="143"/>
      <c r="F63" s="143"/>
      <c r="G63" s="143"/>
      <c r="H63" s="143"/>
      <c r="I63" s="143"/>
      <c r="J63" s="143"/>
      <c r="K63" s="143"/>
      <c r="L63" s="144"/>
    </row>
    <row r="64" spans="1:12" ht="11.25" customHeight="1" x14ac:dyDescent="0.15">
      <c r="A64" s="142"/>
      <c r="B64" s="143"/>
      <c r="C64" s="143"/>
      <c r="D64" s="143"/>
      <c r="E64" s="143"/>
      <c r="F64" s="143"/>
      <c r="G64" s="143"/>
      <c r="H64" s="143"/>
      <c r="I64" s="143"/>
      <c r="J64" s="143"/>
      <c r="K64" s="143"/>
      <c r="L64" s="144"/>
    </row>
    <row r="65" spans="1:12" ht="11.25" customHeight="1" x14ac:dyDescent="0.15">
      <c r="A65" s="142"/>
      <c r="B65" s="143"/>
      <c r="C65" s="143"/>
      <c r="D65" s="143"/>
      <c r="E65" s="143"/>
      <c r="F65" s="143"/>
      <c r="G65" s="143"/>
      <c r="H65" s="143"/>
      <c r="I65" s="143"/>
      <c r="J65" s="143"/>
      <c r="K65" s="143"/>
      <c r="L65" s="144"/>
    </row>
    <row r="66" spans="1:12" ht="11.25" customHeight="1" x14ac:dyDescent="0.15">
      <c r="A66" s="142"/>
      <c r="B66" s="143"/>
      <c r="C66" s="143"/>
      <c r="D66" s="143"/>
      <c r="E66" s="143"/>
      <c r="F66" s="143"/>
      <c r="G66" s="143"/>
      <c r="H66" s="143"/>
      <c r="I66" s="143"/>
      <c r="J66" s="143"/>
      <c r="K66" s="143"/>
      <c r="L66" s="144"/>
    </row>
    <row r="67" spans="1:12" ht="11.25" customHeight="1" x14ac:dyDescent="0.15">
      <c r="A67" s="142"/>
      <c r="B67" s="143"/>
      <c r="C67" s="143"/>
      <c r="D67" s="143"/>
      <c r="E67" s="143"/>
      <c r="F67" s="143"/>
      <c r="G67" s="143"/>
      <c r="H67" s="143"/>
      <c r="I67" s="143"/>
      <c r="J67" s="143"/>
      <c r="K67" s="143"/>
      <c r="L67" s="144"/>
    </row>
    <row r="68" spans="1:12" ht="11.25" customHeight="1" x14ac:dyDescent="0.15">
      <c r="A68" s="142"/>
      <c r="B68" s="143"/>
      <c r="C68" s="143"/>
      <c r="D68" s="143"/>
      <c r="E68" s="143"/>
      <c r="F68" s="143"/>
      <c r="G68" s="143"/>
      <c r="H68" s="143"/>
      <c r="I68" s="143"/>
      <c r="J68" s="143"/>
      <c r="K68" s="143"/>
      <c r="L68" s="144"/>
    </row>
    <row r="69" spans="1:12" ht="11.25" customHeight="1" x14ac:dyDescent="0.15">
      <c r="A69" s="70"/>
      <c r="B69" s="71"/>
      <c r="C69" s="71"/>
      <c r="D69" s="71"/>
      <c r="E69" s="71"/>
      <c r="F69" s="71"/>
      <c r="L69" s="72"/>
    </row>
    <row r="70" spans="1:12" ht="11.25" customHeight="1" x14ac:dyDescent="0.15">
      <c r="A70" s="87" t="s">
        <v>87</v>
      </c>
      <c r="B70" s="88"/>
      <c r="C70" s="88"/>
      <c r="D70" s="88"/>
      <c r="E70" s="88"/>
      <c r="F70" s="71"/>
      <c r="G70" s="6" t="s">
        <v>82</v>
      </c>
      <c r="H70" s="6"/>
      <c r="I70" s="6"/>
      <c r="J70" s="6"/>
      <c r="L70" s="42"/>
    </row>
    <row r="71" spans="1:12" ht="11.25" customHeight="1" x14ac:dyDescent="0.15">
      <c r="A71" s="87" t="s">
        <v>88</v>
      </c>
      <c r="B71" s="88"/>
      <c r="C71" s="88"/>
      <c r="D71" s="88"/>
      <c r="E71" s="88"/>
      <c r="F71" s="71"/>
      <c r="G71" s="73" t="s">
        <v>67</v>
      </c>
      <c r="H71" s="73"/>
      <c r="I71" s="73"/>
      <c r="J71" s="73"/>
      <c r="L71" s="74"/>
    </row>
    <row r="72" spans="1:12" ht="11.25" customHeight="1" x14ac:dyDescent="0.15">
      <c r="A72" s="87" t="s">
        <v>89</v>
      </c>
      <c r="B72" s="88"/>
      <c r="C72" s="88"/>
      <c r="D72" s="88"/>
      <c r="E72" s="88"/>
      <c r="F72" s="71"/>
      <c r="G72" s="71"/>
      <c r="H72" s="71"/>
      <c r="I72" s="71"/>
      <c r="J72" s="71"/>
      <c r="L72" s="74"/>
    </row>
    <row r="73" spans="1:12" ht="11.25" customHeight="1" x14ac:dyDescent="0.15">
      <c r="A73" s="70" t="s">
        <v>90</v>
      </c>
      <c r="B73" s="75"/>
      <c r="C73" s="75"/>
      <c r="D73" s="75"/>
      <c r="E73" s="75"/>
      <c r="F73" s="71"/>
      <c r="G73" s="145" t="s">
        <v>133</v>
      </c>
      <c r="H73" s="89"/>
      <c r="I73" s="89"/>
      <c r="J73" s="89"/>
      <c r="K73" s="89"/>
      <c r="L73" s="90"/>
    </row>
    <row r="74" spans="1:12" ht="13" x14ac:dyDescent="0.15">
      <c r="A74" s="33" t="s">
        <v>68</v>
      </c>
      <c r="B74" s="5"/>
      <c r="C74" s="5"/>
      <c r="D74" s="5"/>
      <c r="E74" s="5"/>
      <c r="F74" s="5"/>
      <c r="G74" s="6" t="s">
        <v>69</v>
      </c>
      <c r="H74" s="5"/>
      <c r="I74" s="76"/>
      <c r="J74" s="76"/>
      <c r="L74" s="77"/>
    </row>
    <row r="75" spans="1:12" ht="13" x14ac:dyDescent="0.15">
      <c r="A75" s="33" t="s">
        <v>70</v>
      </c>
      <c r="B75" s="5"/>
      <c r="C75" s="5"/>
      <c r="D75" s="5"/>
      <c r="E75" s="5"/>
      <c r="F75" s="5"/>
      <c r="I75" s="5"/>
      <c r="J75" s="5"/>
      <c r="L75" s="42"/>
    </row>
    <row r="76" spans="1:12" ht="13" x14ac:dyDescent="0.15">
      <c r="A76" s="33" t="s">
        <v>71</v>
      </c>
      <c r="B76" s="5"/>
      <c r="C76" s="5"/>
      <c r="D76" s="5"/>
      <c r="E76" s="5"/>
      <c r="F76" s="5"/>
      <c r="G76" s="145" t="s">
        <v>133</v>
      </c>
      <c r="H76" s="89"/>
      <c r="I76" s="89"/>
      <c r="J76" s="89"/>
      <c r="K76" s="89"/>
      <c r="L76" s="90"/>
    </row>
    <row r="77" spans="1:12" ht="13" x14ac:dyDescent="0.15">
      <c r="A77" s="33" t="s">
        <v>73</v>
      </c>
      <c r="B77" s="5"/>
      <c r="C77" s="5"/>
      <c r="D77" s="5"/>
      <c r="E77" s="5"/>
      <c r="F77" s="5"/>
      <c r="G77" s="6" t="s">
        <v>72</v>
      </c>
      <c r="H77" s="5"/>
      <c r="I77" s="5"/>
      <c r="J77" s="5"/>
      <c r="L77" s="78"/>
    </row>
    <row r="78" spans="1:12" ht="13" x14ac:dyDescent="0.15">
      <c r="A78" s="33" t="s">
        <v>74</v>
      </c>
      <c r="B78" s="5"/>
      <c r="C78" s="5"/>
      <c r="D78" s="5"/>
      <c r="E78" s="5"/>
      <c r="F78" s="5"/>
      <c r="G78" s="5"/>
      <c r="H78" s="5"/>
      <c r="I78" s="5"/>
      <c r="J78" s="5"/>
      <c r="L78" s="42"/>
    </row>
    <row r="79" spans="1:12" ht="14" thickBot="1" x14ac:dyDescent="0.2">
      <c r="A79" s="39" t="s">
        <v>75</v>
      </c>
      <c r="B79" s="79"/>
      <c r="C79" s="79"/>
      <c r="D79" s="79"/>
      <c r="E79" s="79"/>
      <c r="F79" s="40"/>
      <c r="G79" s="40"/>
      <c r="H79" s="40"/>
      <c r="I79" s="40"/>
      <c r="J79" s="40"/>
      <c r="K79" s="126"/>
      <c r="L79" s="41"/>
    </row>
    <row r="80" spans="1:12" ht="13" x14ac:dyDescent="0.15"/>
    <row r="81" ht="13" x14ac:dyDescent="0.15"/>
    <row r="176" spans="23:23" ht="15.75" customHeight="1" x14ac:dyDescent="0.15">
      <c r="W176" s="80"/>
    </row>
  </sheetData>
  <sheetProtection selectLockedCells="1"/>
  <mergeCells count="51">
    <mergeCell ref="G3:L9"/>
    <mergeCell ref="A60:L68"/>
    <mergeCell ref="G73:L73"/>
    <mergeCell ref="H33:J33"/>
    <mergeCell ref="H34:J34"/>
    <mergeCell ref="H36:J36"/>
    <mergeCell ref="H37:J37"/>
    <mergeCell ref="H38:J38"/>
    <mergeCell ref="H35:J35"/>
    <mergeCell ref="H28:J28"/>
    <mergeCell ref="H29:J29"/>
    <mergeCell ref="H30:J30"/>
    <mergeCell ref="H31:J31"/>
    <mergeCell ref="H32:J32"/>
    <mergeCell ref="H23:J23"/>
    <mergeCell ref="H24:J24"/>
    <mergeCell ref="H25:J25"/>
    <mergeCell ref="H26:J26"/>
    <mergeCell ref="H27:J27"/>
    <mergeCell ref="H18:J18"/>
    <mergeCell ref="H19:J19"/>
    <mergeCell ref="H20:J20"/>
    <mergeCell ref="H21:J21"/>
    <mergeCell ref="H22:J22"/>
    <mergeCell ref="H54:J54"/>
    <mergeCell ref="G56:L56"/>
    <mergeCell ref="G57:L57"/>
    <mergeCell ref="G58:L58"/>
    <mergeCell ref="G76:L76"/>
    <mergeCell ref="A71:E71"/>
    <mergeCell ref="A72:E72"/>
    <mergeCell ref="A4:E4"/>
    <mergeCell ref="A5:E5"/>
    <mergeCell ref="A1:E1"/>
    <mergeCell ref="A2:E2"/>
    <mergeCell ref="A3:E3"/>
    <mergeCell ref="D6:E6"/>
    <mergeCell ref="A70:E70"/>
    <mergeCell ref="A31:C31"/>
    <mergeCell ref="A49:C49"/>
    <mergeCell ref="C7:E7"/>
    <mergeCell ref="C8:E8"/>
    <mergeCell ref="C9:E9"/>
    <mergeCell ref="C10:E10"/>
    <mergeCell ref="B46:C46"/>
    <mergeCell ref="B47:C47"/>
    <mergeCell ref="H11:J11"/>
    <mergeCell ref="B33:C33"/>
    <mergeCell ref="B35:C35"/>
    <mergeCell ref="B37:C37"/>
    <mergeCell ref="B14:C14"/>
  </mergeCells>
  <printOptions horizontalCentered="1" verticalCentered="1"/>
  <pageMargins left="0.25" right="0.25" top="0.25" bottom="0.25" header="0" footer="0"/>
  <pageSetup paperSize="5" pageOrder="overThenDown" orientation="portrait" cellComments="atEnd"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cp:lastPrinted>2022-03-03T15:15:46Z</cp:lastPrinted>
  <dcterms:created xsi:type="dcterms:W3CDTF">2022-02-16T18:45:55Z</dcterms:created>
  <dcterms:modified xsi:type="dcterms:W3CDTF">2022-03-04T16:08:06Z</dcterms:modified>
</cp:coreProperties>
</file>